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tables/table3.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1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22ad7d5a1040f6" /></Relationships>
</file>

<file path=xl/workbook.xml><?xml version="1.0" encoding="utf-8"?>
<x:workbook xmlns:x="http://schemas.openxmlformats.org/spreadsheetml/2006/main">
  <x:sheets>
    <x:sheet xmlns:r="http://schemas.openxmlformats.org/officeDocument/2006/relationships" name="READ ME" sheetId="1" r:id="Rf42eeba1a1414bc2"/>
    <x:sheet xmlns:r="http://schemas.openxmlformats.org/officeDocument/2006/relationships" name="Literature Corpus" sheetId="2" r:id="Rffc1f7c1022645a2"/>
    <x:sheet xmlns:r="http://schemas.openxmlformats.org/officeDocument/2006/relationships" name="Quarantine - Unverified" sheetId="3" r:id="R8c8d55bd72c94388"/>
    <x:sheet xmlns:r="http://schemas.openxmlformats.org/officeDocument/2006/relationships" name="Search Log" sheetId="4" r:id="Rc0c3cc4b84364ee4"/>
    <x:sheet xmlns:r="http://schemas.openxmlformats.org/officeDocument/2006/relationships" name="Survey Overlap" sheetId="5" r:id="Rbcae17c18a614da7"/>
    <x:sheet xmlns:r="http://schemas.openxmlformats.org/officeDocument/2006/relationships" name="Differentiation Plan" sheetId="6" r:id="R3e659bcf709f4630"/>
    <x:sheet xmlns:r="http://schemas.openxmlformats.org/officeDocument/2006/relationships" name="Compare the two AIs" sheetId="7" r:id="R7f5b4591829543b1"/>
    <x:sheet xmlns:r="http://schemas.openxmlformats.org/officeDocument/2006/relationships" name="Lists" sheetId="8" r:id="R94554a7e3cdc4358"/>
    <x:sheet xmlns:r="http://schemas.openxmlformats.org/officeDocument/2006/relationships" name="Screening Tracker" sheetId="9" r:id="Rc28609c388124945"/>
    <x:sheet xmlns:r="http://schemas.openxmlformats.org/officeDocument/2006/relationships" name="Data Extraction" sheetId="10" r:id="R186e3a013b954339"/>
    <x:sheet xmlns:r="http://schemas.openxmlformats.org/officeDocument/2006/relationships" name="QA Assessment" sheetId="11" r:id="R17115a23ac4247ce"/>
    <x:sheet xmlns:r="http://schemas.openxmlformats.org/officeDocument/2006/relationships" name="PRISMA" sheetId="12" r:id="R6d21872d90bf422d"/>
    <x:sheet xmlns:r="http://schemas.openxmlformats.org/officeDocument/2006/relationships" name="Dashboard" sheetId="13" r:id="Rebad89ab3b60431f"/>
    <x:sheet xmlns:r="http://schemas.openxmlformats.org/officeDocument/2006/relationships" name="PDF Intake" sheetId="14" r:id="R1e9be92dc33d40a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8">
    <x:font>
      <x:sz val="11"/>
      <x:color theme="1"/>
      <x:name val="Calibri"/>
    </x:font>
    <x:font>
      <x:b/>
      <x:sz val="14"/>
      <x:color rgb="FF1F3864"/>
      <x:name val="Arial"/>
    </x:font>
    <x:font>
      <x:i/>
      <x:sz val="10"/>
      <x:name val="Arial"/>
    </x:font>
    <x:font>
      <x:b/>
      <x:sz val="10"/>
      <x:name val="Arial"/>
    </x:font>
    <x:font>
      <x:sz val="10"/>
      <x:name val="Arial"/>
    </x:font>
    <x:font>
      <x:b/>
      <x:sz val="11"/>
      <x:color rgb="FF1F3864"/>
      <x:name val="Arial"/>
    </x:font>
    <x:font>
      <x:i/>
      <x:sz val="9"/>
      <x:color rgb="FF595959"/>
      <x:name val="Arial"/>
    </x:font>
    <x:font>
      <x:b/>
      <x:sz val="11"/>
      <x:color rgb="FFFFFFFF"/>
      <x:name val="Arial"/>
    </x:font>
    <x:font>
      <x:sz val="8"/>
      <x:name val="Courier New"/>
    </x:font>
    <x:font>
      <x:b/>
      <x:sz val="12"/>
      <x:color rgb="FFFFFFFF"/>
      <x:name val="Arial"/>
    </x:font>
    <x:font>
      <x:b/>
      <x:sz val="10"/>
      <x:color rgb="FF1F3864"/>
      <x:name val="Arial"/>
    </x:font>
    <x:font>
      <x:b/>
      <x:sz val="14"/>
      <x:color rgb="FFFFFFFF"/>
      <x:name val="Calibri"/>
    </x:font>
    <x:font>
      <x:b/>
      <x:sz val="11"/>
      <x:color rgb="FFFFFFFF"/>
      <x:name val="Calibri"/>
    </x:font>
    <x:font>
      <x:b/>
      <x:sz val="15"/>
      <x:color rgb="FFFFFFFF"/>
      <x:name val="Calibri"/>
    </x:font>
    <x:font>
      <x:i/>
      <x:sz val="11"/>
      <x:color rgb="FF1F2937"/>
      <x:name val="Calibri"/>
    </x:font>
    <x:font>
      <x:i/>
      <x:sz val="11"/>
      <x:color theme="1"/>
      <x:name val="Calibri"/>
    </x:font>
    <x:font>
      <x:b/>
      <x:sz val="11"/>
      <x:color theme="1"/>
      <x:name val="Calibri"/>
    </x:font>
    <x:font>
      <x:b/>
      <x:sz val="16"/>
      <x:color rgb="FFFFFFFF"/>
      <x:name val="Calibri"/>
    </x:font>
  </x:fonts>
  <x:fills count="33">
    <x:fill>
      <x:patternFill patternType="none"/>
    </x:fill>
    <x:fill>
      <x:patternFill patternType="gray125"/>
    </x:fill>
    <x:fill>
      <x:patternFill patternType="solid">
        <x:fgColor rgb="FFE2EFDA"/>
      </x:patternFill>
    </x:fill>
    <x:fill>
      <x:patternFill patternType="solid">
        <x:fgColor rgb="FFFFF2CC"/>
      </x:patternFill>
    </x:fill>
    <x:fill>
      <x:patternFill patternType="solid">
        <x:fgColor rgb="FFFCE4D6"/>
      </x:patternFill>
    </x:fill>
    <x:fill>
      <x:patternFill patternType="solid">
        <x:fgColor rgb="FFDEEAF6"/>
      </x:patternFill>
    </x:fill>
    <x:fill>
      <x:patternFill patternType="solid">
        <x:fgColor rgb="FF1F3864"/>
      </x:patternFill>
    </x:fill>
    <x:fill>
      <x:patternFill patternType="solid">
        <x:fgColor rgb="FFFDE9E8"/>
      </x:patternFill>
    </x:fill>
    <x:fill>
      <x:patternFill patternType="solid">
        <x:fgColor rgb="FFEDE7F6"/>
      </x:patternFill>
    </x:fill>
    <x:fill>
      <x:patternFill patternType="solid">
        <x:fgColor rgb="FFF2F2F2"/>
      </x:patternFill>
    </x:fill>
    <x:fill>
      <x:patternFill patternType="solid">
        <x:fgColor rgb="FFF4B183"/>
      </x:patternFill>
    </x:fill>
    <x:fill>
      <x:patternFill patternType="solid">
        <x:fgColor rgb="FFE2E2E2"/>
      </x:patternFill>
    </x:fill>
    <x:fill>
      <x:patternFill patternType="solid">
        <x:fgColor rgb="FFFFE699"/>
      </x:patternFill>
    </x:fill>
    <x:fill>
      <x:patternFill patternType="solid">
        <x:fgColor rgb="FFDDEBF7"/>
      </x:patternFill>
    </x:fill>
    <x:fill>
      <x:patternFill patternType="solid">
        <x:fgColor rgb="FFF8CBAD"/>
      </x:patternFill>
    </x:fill>
    <x:fill>
      <x:patternFill patternType="solid">
        <x:fgColor rgb="FFC6E0B4"/>
      </x:patternFill>
    </x:fill>
    <x:fill>
      <x:patternFill patternType="solid">
        <x:fgColor rgb="FFD9E1B4"/>
      </x:patternFill>
    </x:fill>
    <x:fill>
      <x:patternFill patternType="solid">
        <x:fgColor rgb="FFD9E1F2"/>
      </x:patternFill>
    </x:fill>
    <x:fill>
      <x:patternFill patternType="solid">
        <x:fgColor rgb="FF1F4E78"/>
      </x:patternFill>
    </x:fill>
    <x:fill>
      <x:patternFill patternType="solid">
        <x:fgColor rgb="FF0F766E"/>
      </x:patternFill>
    </x:fill>
    <x:fill>
      <x:patternFill patternType="solid">
        <x:fgColor rgb="FFD9EAF7"/>
      </x:patternFill>
    </x:fill>
    <x:fill>
      <x:patternFill patternType="solid">
        <x:fgColor rgb="FFFFF2CC"/>
      </x:patternFill>
    </x:fill>
    <x:fill>
      <x:patternFill patternType="solid">
        <x:fgColor rgb="FFD9F0EC"/>
      </x:patternFill>
    </x:fill>
    <x:fill>
      <x:patternFill patternType="solid">
        <x:fgColor rgb="FF1F4E78"/>
      </x:patternFill>
    </x:fill>
    <x:fill>
      <x:patternFill patternType="solid">
        <x:fgColor rgb="FFD9EAF7"/>
      </x:patternFill>
    </x:fill>
    <x:fill>
      <x:patternFill patternType="solid">
        <x:fgColor rgb="FF0F766E"/>
      </x:patternFill>
    </x:fill>
    <x:fill>
      <x:patternFill patternType="solid">
        <x:fgColor rgb="FFF8FAFC"/>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x:cellStyleXfs>
  <x:cellXfs count="178">
    <x:xf numFmtId="0" fontId="0" fillId="0" borderId="0" xfId="0"/>
    <x:xf numFmtId="0" fontId="1" fillId="0" borderId="0" xfId="0"/>
    <x:xf numFmtId="0" fontId="2" fillId="0" borderId="0" xfId="0"/>
    <x:xf numFmtId="0" fontId="3" fillId="0" borderId="0" xfId="0" applyAlignment="1">
      <x:alignment vertical="top" wrapText="1"/>
    </x:xf>
    <x:xf numFmtId="0" fontId="4" fillId="0" borderId="0" xfId="0" applyAlignment="1">
      <x:alignment vertical="top" wrapText="1"/>
    </x:xf>
    <x:xf numFmtId="0" fontId="5" fillId="0" borderId="0" xfId="0" applyAlignment="1">
      <x:alignment vertical="top" wrapText="1"/>
    </x:xf>
    <x:xf numFmtId="0" fontId="0" fillId="0" borderId="0" xfId="0" applyAlignment="1">
      <x:alignment vertical="top" wrapText="1"/>
    </x:xf>
    <x:xf numFmtId="0" fontId="3" fillId="2" borderId="0" xfId="0" applyAlignment="1">
      <x:alignment vertical="top" wrapText="1"/>
    </x:xf>
    <x:xf numFmtId="0" fontId="3" fillId="3" borderId="0" xfId="0" applyAlignment="1">
      <x:alignment vertical="top" wrapText="1"/>
    </x:xf>
    <x:xf numFmtId="0" fontId="3" fillId="4" borderId="0" xfId="0" applyAlignment="1">
      <x:alignment vertical="top" wrapText="1"/>
    </x:xf>
    <x:xf numFmtId="0" fontId="3" fillId="5" borderId="0" xfId="0" applyAlignment="1">
      <x:alignment vertical="top" wrapText="1"/>
    </x:xf>
    <x:xf numFmtId="0" fontId="6" fillId="0" borderId="0" xfId="0"/>
    <x:xf numFmtId="0" fontId="7" fillId="6" borderId="1" xfId="0" applyAlignment="1">
      <x:alignment horizontal="center" vertical="center" wrapText="1"/>
    </x:xf>
    <x:xf numFmtId="0" fontId="4" fillId="0" borderId="1" xfId="0" applyAlignment="1">
      <x:alignment horizontal="center" vertical="center" wrapText="1"/>
    </x:xf>
    <x:xf numFmtId="0" fontId="4" fillId="0" borderId="1" xfId="0" applyAlignment="1">
      <x:alignment vertical="top" wrapText="1"/>
    </x:xf>
    <x:xf numFmtId="0" fontId="4" fillId="3" borderId="1" xfId="0" applyAlignment="1">
      <x:alignment horizontal="center" vertical="center" wrapText="1"/>
    </x:xf>
    <x:xf numFmtId="0" fontId="4" fillId="4" borderId="1" xfId="0" applyAlignment="1">
      <x:alignment horizontal="center" vertical="center" wrapText="1"/>
    </x:xf>
    <x:xf numFmtId="0" fontId="4" fillId="2" borderId="1" xfId="0" applyAlignment="1">
      <x:alignment horizontal="center" vertical="center" wrapText="1"/>
    </x:xf>
    <x:xf numFmtId="0" fontId="4" fillId="7" borderId="1" xfId="0" applyAlignment="1">
      <x:alignment horizontal="center" vertical="center" wrapText="1"/>
    </x:xf>
    <x:xf numFmtId="0" fontId="4" fillId="8" borderId="1" xfId="0" applyAlignment="1">
      <x:alignment horizontal="center" vertical="center" wrapText="1"/>
    </x:xf>
    <x:xf numFmtId="0" fontId="4" fillId="5" borderId="1" xfId="0" applyAlignment="1">
      <x:alignment horizontal="center" vertical="center" wrapText="1"/>
    </x:xf>
    <x:xf numFmtId="0" fontId="4" fillId="9" borderId="1" xfId="0" applyAlignment="1">
      <x:alignment horizontal="center" vertical="center" wrapText="1"/>
    </x:xf>
    <x:xf numFmtId="0" fontId="3" fillId="10" borderId="1" xfId="0" applyAlignment="1">
      <x:alignment horizontal="center" vertical="center" wrapText="1"/>
    </x:xf>
    <x:xf numFmtId="0" fontId="3" fillId="11" borderId="1" xfId="0" applyAlignment="1">
      <x:alignment horizontal="center" vertical="center" wrapText="1"/>
    </x:xf>
    <x:xf numFmtId="0" fontId="3" fillId="12" borderId="1" xfId="0" applyAlignment="1">
      <x:alignment horizontal="center" vertical="center" wrapText="1"/>
    </x:xf>
    <x:xf numFmtId="0" fontId="3" fillId="13" borderId="1" xfId="0" applyAlignment="1">
      <x:alignment horizontal="center" vertical="center" wrapText="1"/>
    </x:xf>
    <x:xf numFmtId="0" fontId="8" fillId="0" borderId="1" xfId="0" applyAlignment="1">
      <x:alignment vertical="top" wrapText="1"/>
    </x:xf>
    <x:xf numFmtId="0" fontId="3" fillId="14" borderId="1" xfId="0" applyAlignment="1">
      <x:alignment horizontal="center" vertical="center" wrapText="1"/>
    </x:xf>
    <x:xf numFmtId="0" fontId="3" fillId="15" borderId="1" xfId="0" applyAlignment="1">
      <x:alignment horizontal="center" vertical="center" wrapText="1"/>
    </x:xf>
    <x:xf numFmtId="0" fontId="3" fillId="16" borderId="1" xfId="0" applyAlignment="1">
      <x:alignment horizontal="center" vertical="center" wrapText="1"/>
    </x:xf>
    <x:xf numFmtId="0" fontId="3" fillId="0" borderId="1" xfId="0" applyAlignment="1">
      <x:alignment horizontal="center" vertical="center" wrapText="1"/>
    </x:xf>
    <x:xf numFmtId="0" fontId="9" fillId="6" borderId="0" xfId="0" applyAlignment="1">
      <x:alignment horizontal="left" vertical="center"/>
    </x:xf>
    <x:xf numFmtId="0" fontId="10" fillId="0" borderId="0" xfId="0" applyAlignment="1">
      <x:alignment vertical="top" wrapText="1"/>
    </x:xf>
    <x:xf numFmtId="0" fontId="3" fillId="0" borderId="1" xfId="0" applyAlignment="1">
      <x:alignment vertical="top" wrapText="1"/>
    </x:xf>
    <x:xf numFmtId="0" fontId="3" fillId="17" borderId="1" xfId="0" applyAlignment="1">
      <x:alignment horizontal="center" vertical="center" wrapText="1"/>
    </x:xf>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6" fillId="0" borderId="2" xfId="0" applyNumberFormat="1" applyFont="1" applyFill="1" applyBorder="1"/>
    <x:xf numFmtId="0" fontId="7" fillId="6" borderId="1"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xf numFmtId="0" fontId="4" fillId="0" borderId="1" xfId="0" applyNumberFormat="1" applyFont="1" applyFill="1" applyBorder="1" applyAlignment="1">
      <x:alignment vertical="top" wrapText="1"/>
    </x:xf>
    <x:xf numFmtId="0" fontId="4" fillId="3"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8" borderId="1"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0" fontId="4" fillId="9" borderId="1" xfId="0" applyNumberFormat="1" applyFont="1" applyFill="1" applyBorder="1" applyAlignment="1">
      <x:alignment horizontal="center" vertical="center" wrapText="1"/>
    </x:xf>
    <x:xf numFmtId="0" fontId="3" fillId="10" borderId="1" xfId="0" applyNumberFormat="1" applyFont="1" applyFill="1" applyBorder="1" applyAlignment="1">
      <x:alignment horizontal="center" vertical="center" wrapText="1"/>
    </x:xf>
    <x:xf numFmtId="0" fontId="3" fillId="11" borderId="1" xfId="0" applyNumberFormat="1" applyFont="1" applyFill="1" applyBorder="1" applyAlignment="1">
      <x:alignment horizontal="center" vertical="center" wrapText="1"/>
    </x:xf>
    <x:xf numFmtId="0" fontId="3" fillId="12" borderId="1" xfId="0" applyNumberFormat="1" applyFont="1" applyFill="1" applyBorder="1" applyAlignment="1">
      <x:alignment horizontal="center" vertical="center" wrapText="1"/>
    </x:xf>
    <x:xf numFmtId="0" fontId="3" fillId="13" borderId="1" xfId="0" applyNumberFormat="1" applyFont="1" applyFill="1" applyBorder="1" applyAlignment="1">
      <x:alignment horizontal="center" vertical="center" wrapText="1"/>
    </x:xf>
    <x:xf numFmtId="0" fontId="8" fillId="0" borderId="1" xfId="0" applyNumberFormat="1" applyFont="1" applyFill="1" applyBorder="1" applyAlignment="1">
      <x:alignment vertical="top" wrapText="1"/>
    </x:xf>
    <x:xf numFmtId="0" fontId="3" fillId="14" borderId="1" xfId="0" applyNumberFormat="1" applyFont="1" applyFill="1" applyBorder="1" applyAlignment="1">
      <x:alignment horizontal="center" vertical="center" wrapText="1"/>
    </x:xf>
    <x:xf numFmtId="0" fontId="3" fillId="15" borderId="1" xfId="0" applyNumberFormat="1" applyFont="1" applyFill="1" applyBorder="1" applyAlignment="1">
      <x:alignment horizontal="center" vertical="center" wrapText="1"/>
    </x:xf>
    <x:xf numFmtId="0" fontId="3" fillId="16" borderId="1"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center" wrapText="1"/>
    </x:xf>
    <x:xf numFmtId="0" fontId="9" fillId="6" borderId="2" xfId="0" applyNumberFormat="1" applyFont="1" applyFill="1" applyBorder="1" applyAlignment="1">
      <x:alignment horizontal="left" vertical="center"/>
    </x:xf>
    <x:xf numFmtId="0" fontId="10" fillId="0" borderId="2"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17" borderId="1" xfId="0" applyNumberFormat="1" applyFont="1" applyFill="1" applyBorder="1" applyAlignment="1">
      <x:alignment horizontal="center" vertical="center" wrapText="1"/>
    </x:xf>
    <x:xf numFmtId="0" fontId="0" fillId="18" borderId="0" xfId="0" applyNumberFormat="1" applyFont="1" applyFill="1" applyBorder="1"/>
    <x:xf numFmtId="0" fontId="11" fillId="18" borderId="0" xfId="0" applyNumberFormat="1" applyFont="1" applyFill="1" applyBorder="1"/>
    <x:xf numFmtId="0" fontId="11" fillId="18" borderId="0" xfId="0" applyNumberFormat="1" applyFont="1" applyFill="1" applyBorder="1" applyAlignment="1">
      <x:alignment horizontal="center"/>
    </x:xf>
    <x:xf numFmtId="0" fontId="0" fillId="18" borderId="2" xfId="0" applyNumberFormat="1" applyFont="1" applyFill="1" applyBorder="1"/>
    <x:xf numFmtId="0" fontId="11" fillId="18" borderId="2" xfId="0" applyNumberFormat="1" applyFont="1" applyFill="1" applyBorder="1"/>
    <x:xf numFmtId="0" fontId="11" fillId="18" borderId="2" xfId="0" applyNumberFormat="1" applyFont="1" applyFill="1" applyBorder="1" applyAlignment="1">
      <x:alignment horizontal="center"/>
    </x:xf>
    <x:xf numFmtId="0" fontId="0" fillId="19" borderId="0" xfId="0" applyNumberFormat="1" applyFont="1" applyFill="1" applyBorder="1"/>
    <x:xf numFmtId="0" fontId="12" fillId="19" borderId="0" xfId="0" applyNumberFormat="1" applyFont="1" applyFill="1" applyBorder="1"/>
    <x:xf numFmtId="0" fontId="12" fillId="19" borderId="0" xfId="0" applyNumberFormat="1" applyFont="1" applyFill="1" applyBorder="1" applyAlignment="1">
      <x:alignment wrapText="1"/>
    </x:xf>
    <x:xf numFmtId="0" fontId="0" fillId="19" borderId="2" xfId="0" applyNumberFormat="1" applyFont="1" applyFill="1" applyBorder="1"/>
    <x:xf numFmtId="0" fontId="12" fillId="19" borderId="2" xfId="0" applyNumberFormat="1" applyFont="1" applyFill="1" applyBorder="1"/>
    <x:xf numFmtId="0" fontId="12" fillId="19" borderId="2" xfId="0" applyNumberFormat="1" applyFont="1" applyFill="1" applyBorder="1" applyAlignment="1">
      <x:alignment wrapText="1"/>
    </x:xf>
    <x:xf numFmtId="0" fontId="13" fillId="18" borderId="0" xfId="0" applyNumberFormat="1" applyFont="1" applyFill="1" applyBorder="1"/>
    <x:xf numFmtId="0" fontId="13" fillId="18" borderId="0" xfId="0" applyNumberFormat="1" applyFont="1" applyFill="1" applyBorder="1" applyAlignment="1">
      <x:alignment horizontal="center"/>
    </x:xf>
    <x:xf numFmtId="0" fontId="13" fillId="18" borderId="2" xfId="0" applyNumberFormat="1" applyFont="1" applyFill="1" applyBorder="1"/>
    <x:xf numFmtId="0" fontId="13" fillId="18" borderId="2" xfId="0" applyNumberFormat="1" applyFont="1" applyFill="1" applyBorder="1" applyAlignment="1">
      <x:alignment horizontal="center"/>
    </x:xf>
    <x:xf numFmtId="0" fontId="0" fillId="20" borderId="0" xfId="0" applyNumberFormat="1" applyFont="1" applyFill="1" applyBorder="1"/>
    <x:xf numFmtId="0" fontId="14" fillId="20" borderId="0" xfId="0" applyNumberFormat="1" applyFont="1" applyFill="1" applyBorder="1"/>
    <x:xf numFmtId="0" fontId="14" fillId="20" borderId="0" xfId="0" applyNumberFormat="1" applyFont="1" applyFill="1" applyBorder="1" applyAlignment="1">
      <x:alignment wrapText="1"/>
    </x:xf>
    <x:xf numFmtId="0" fontId="0" fillId="20" borderId="2" xfId="0" applyNumberFormat="1" applyFont="1" applyFill="1" applyBorder="1"/>
    <x:xf numFmtId="0" fontId="14" fillId="20" borderId="2" xfId="0" applyNumberFormat="1" applyFont="1" applyFill="1" applyBorder="1"/>
    <x:xf numFmtId="0" fontId="14" fillId="20" borderId="2"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19" borderId="2" xfId="0" applyNumberFormat="1" applyFont="1" applyFill="1" applyBorder="1" applyAlignment="1">
      <x:alignment horizontal="center" wrapText="1"/>
    </x:xf>
    <x:xf numFmtId="0" fontId="12" fillId="19"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15" fillId="20" borderId="0" xfId="0" applyNumberFormat="1" applyFont="1" applyFill="1" applyBorder="1"/>
    <x:xf numFmtId="0" fontId="15" fillId="20" borderId="0" xfId="0" applyNumberFormat="1" applyFont="1" applyFill="1" applyBorder="1" applyAlignment="1">
      <x:alignment wrapText="1"/>
    </x:xf>
    <x:xf numFmtId="0" fontId="15" fillId="20" borderId="2" xfId="0" applyNumberFormat="1" applyFont="1" applyFill="1" applyBorder="1"/>
    <x:xf numFmtId="0" fontId="15" fillId="20" borderId="2" xfId="0" applyNumberFormat="1" applyFont="1" applyFill="1" applyBorder="1" applyAlignment="1">
      <x:alignment wrapText="1"/>
    </x:xf>
    <x:xf numFmtId="0" fontId="0" fillId="21" borderId="0" xfId="0" applyNumberFormat="1" applyFont="1" applyFill="1" applyBorder="1"/>
    <x:xf numFmtId="0" fontId="15" fillId="21" borderId="0" xfId="0" applyNumberFormat="1" applyFont="1" applyFill="1" applyBorder="1"/>
    <x:xf numFmtId="0" fontId="15" fillId="21" borderId="0" xfId="0" applyNumberFormat="1" applyFont="1" applyFill="1" applyBorder="1" applyAlignment="1">
      <x:alignment wrapText="1"/>
    </x:xf>
    <x:xf numFmtId="0" fontId="0" fillId="21" borderId="2" xfId="0" applyNumberFormat="1" applyFont="1" applyFill="1" applyBorder="1"/>
    <x:xf numFmtId="0" fontId="15" fillId="21" borderId="2" xfId="0" applyNumberFormat="1" applyFont="1" applyFill="1" applyBorder="1"/>
    <x:xf numFmtId="0" fontId="15" fillId="21" borderId="2" xfId="0" applyNumberFormat="1" applyFont="1" applyFill="1" applyBorder="1" applyAlignment="1">
      <x:alignment wrapText="1"/>
    </x:xf>
    <x:xf numFmtId="0" fontId="12" fillId="19" borderId="0" xfId="0" applyNumberFormat="1" applyFont="1" applyFill="1" applyBorder="1" applyAlignment="1">
      <x:alignment horizontal="center"/>
    </x:xf>
    <x:xf numFmtId="0" fontId="12" fillId="19" borderId="2" xfId="0" applyNumberFormat="1" applyFont="1" applyFill="1" applyBorder="1" applyAlignment="1">
      <x:alignment horizontal="center"/>
    </x:xf>
    <x:xf numFmtId="0" fontId="16" fillId="20" borderId="0" xfId="0" applyNumberFormat="1" applyFont="1" applyFill="1" applyBorder="1"/>
    <x:xf numFmtId="0" fontId="16" fillId="20" borderId="2" xfId="0" applyNumberFormat="1" applyFont="1" applyFill="1" applyBorder="1"/>
    <x:xf numFmtId="200" fontId="0" fillId="0" borderId="0" xfId="0" applyNumberFormat="1" applyFont="1" applyFill="1" applyBorder="1"/>
    <x:xf numFmtId="200" fontId="0" fillId="0" borderId="2" xfId="0" applyNumberFormat="1" applyFont="1" applyFill="1" applyBorder="1"/>
    <x:xf numFmtId="201" fontId="0" fillId="0" borderId="0" xfId="0" applyNumberFormat="1" applyFont="1" applyFill="1" applyBorder="1"/>
    <x:xf numFmtId="201" fontId="0" fillId="0" borderId="2" xfId="0" applyNumberFormat="1" applyFont="1" applyFill="1" applyBorder="1"/>
    <x:xf numFmtId="0" fontId="13" fillId="18" borderId="0" xfId="0" applyNumberFormat="1" applyFont="1" applyFill="1" applyBorder="1" applyAlignment="1">
      <x:alignment horizontal="center"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16" fillId="20" borderId="0" xfId="0" applyNumberFormat="1" applyFont="1" applyFill="1" applyBorder="1" applyAlignment="1">
      <x:alignment wrapText="1"/>
    </x:xf>
    <x:xf numFmtId="0" fontId="13" fillId="18" borderId="2" xfId="0" applyNumberFormat="1" applyFont="1" applyFill="1" applyBorder="1" applyAlignment="1">
      <x:alignment horizontal="center" wrapText="1"/>
    </x:xf>
    <x:xf numFmtId="200" fontId="0" fillId="0" borderId="2" xfId="0" applyNumberFormat="1" applyFont="1" applyFill="1" applyBorder="1" applyAlignment="1">
      <x:alignment wrapText="1"/>
    </x:xf>
    <x:xf numFmtId="201" fontId="0" fillId="0" borderId="2" xfId="0" applyNumberFormat="1" applyFont="1" applyFill="1" applyBorder="1" applyAlignment="1">
      <x:alignment wrapText="1"/>
    </x:xf>
    <x:xf numFmtId="0" fontId="16" fillId="20" borderId="2" xfId="0" applyNumberFormat="1" applyFont="1" applyFill="1" applyBorder="1" applyAlignment="1">
      <x:alignment wrapText="1"/>
    </x:xf>
    <x:xf numFmtId="0" fontId="17" fillId="18" borderId="0" xfId="0" applyNumberFormat="1" applyFont="1" applyFill="1" applyBorder="1"/>
    <x:xf numFmtId="0" fontId="17" fillId="18" borderId="0" xfId="0" applyNumberFormat="1" applyFont="1" applyFill="1" applyBorder="1" applyAlignment="1">
      <x:alignment horizontal="center"/>
    </x:xf>
    <x:xf numFmtId="0" fontId="17" fillId="18" borderId="2" xfId="0" applyNumberFormat="1" applyFont="1" applyFill="1" applyBorder="1"/>
    <x:xf numFmtId="0" fontId="17" fillId="18" borderId="2" xfId="0" applyNumberFormat="1" applyFont="1" applyFill="1" applyBorder="1" applyAlignment="1">
      <x:alignment horizontal="center"/>
    </x:xf>
    <x:xf numFmtId="0" fontId="0" fillId="18" borderId="0" xfId="0" applyNumberFormat="1" applyFont="1" applyFill="1" applyBorder="1" applyAlignment="1">
      <x:alignment wrapText="1"/>
    </x:xf>
    <x:xf numFmtId="0" fontId="12" fillId="18" borderId="0" xfId="0" applyNumberFormat="1" applyFont="1" applyFill="1" applyBorder="1" applyAlignment="1">
      <x:alignment wrapText="1"/>
    </x:xf>
    <x:xf numFmtId="0" fontId="0" fillId="18" borderId="2" xfId="0" applyNumberFormat="1" applyFont="1" applyFill="1" applyBorder="1" applyAlignment="1">
      <x:alignment wrapText="1"/>
    </x:xf>
    <x:xf numFmtId="0" fontId="12" fillId="18" borderId="2" xfId="0" applyNumberFormat="1" applyFont="1" applyFill="1" applyBorder="1" applyAlignment="1">
      <x:alignment wrapText="1"/>
    </x:xf>
    <x:xf numFmtId="0" fontId="0" fillId="22" borderId="0" xfId="0" applyNumberFormat="1" applyFont="1" applyFill="1" applyBorder="1" applyAlignment="1">
      <x:alignment wrapText="1"/>
    </x:xf>
    <x:xf numFmtId="0" fontId="16" fillId="22" borderId="0" xfId="0" applyNumberFormat="1" applyFont="1" applyFill="1" applyBorder="1" applyAlignment="1">
      <x:alignment wrapText="1"/>
    </x:xf>
    <x:xf numFmtId="0" fontId="0" fillId="22" borderId="2" xfId="0" applyNumberFormat="1" applyFont="1" applyFill="1" applyBorder="1" applyAlignment="1">
      <x:alignment wrapText="1"/>
    </x:xf>
    <x:xf numFmtId="0" fontId="16" fillId="22" borderId="2" xfId="0" applyNumberFormat="1" applyFont="1" applyFill="1" applyBorder="1" applyAlignment="1">
      <x:alignment wrapText="1"/>
    </x:xf>
    <x:xf numFmtId="0" fontId="0" fillId="21" borderId="0" xfId="0" applyNumberFormat="1" applyFont="1" applyFill="1" applyBorder="1" applyAlignment="1">
      <x:alignment wrapText="1"/>
    </x:xf>
    <x:xf numFmtId="0" fontId="16" fillId="21" borderId="0" xfId="0" applyNumberFormat="1" applyFont="1" applyFill="1" applyBorder="1" applyAlignment="1">
      <x:alignment wrapText="1"/>
    </x:xf>
    <x:xf numFmtId="0" fontId="0" fillId="0" borderId="0" xfId="0" applyNumberFormat="1" applyFont="1" applyFill="1" applyBorder="1"/>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6" fillId="0" borderId="0" xfId="0" applyNumberFormat="1" applyFont="1" applyFill="1" applyBorder="1"/>
    <x:xf numFmtId="0" fontId="9" fillId="6" borderId="0" xfId="0" applyNumberFormat="1" applyFont="1" applyFill="1" applyBorder="1" applyAlignment="1">
      <x:alignment horizontal="left" vertical="center"/>
    </x:xf>
    <x:xf numFmtId="0" fontId="10" fillId="0" borderId="0" xfId="0" applyNumberFormat="1" applyFont="1" applyFill="1" applyBorder="1" applyAlignment="1">
      <x:alignment vertical="top" wrapText="1"/>
    </x:xf>
    <x:xf numFmtId="0" fontId="0" fillId="3" borderId="0" xfId="0" applyNumberFormat="1" applyFont="1" applyFill="1" applyBorder="1"/>
    <x:xf numFmtId="0" fontId="15" fillId="3" borderId="0" xfId="0" applyNumberFormat="1" applyFont="1" applyFill="1" applyBorder="1"/>
    <x:xf numFmtId="0" fontId="15" fillId="3" borderId="0" xfId="0" applyNumberFormat="1" applyFont="1" applyFill="1" applyBorder="1" applyAlignment="1">
      <x:alignment wrapText="1"/>
    </x:xf>
    <x:xf numFmtId="0" fontId="0" fillId="3" borderId="0" xfId="0" applyNumberFormat="1" applyFont="1" applyFill="1" applyBorder="1" applyAlignment="1">
      <x:alignment wrapText="1"/>
    </x:xf>
    <x:xf numFmtId="0" fontId="16" fillId="3" borderId="0" xfId="0" applyNumberFormat="1" applyFont="1" applyFill="1" applyBorder="1" applyAlignment="1">
      <x:alignment wrapText="1"/>
    </x:xf>
    <x:xf numFmtId="0" fontId="0" fillId="23" borderId="0" xfId="0" applyNumberFormat="1" applyFont="1" applyFill="1" applyBorder="1"/>
    <x:xf numFmtId="0" fontId="13" fillId="23" borderId="0" xfId="0" applyNumberFormat="1" applyFont="1" applyFill="1" applyBorder="1"/>
    <x:xf numFmtId="0" fontId="13" fillId="23" borderId="0" xfId="0" applyNumberFormat="1" applyFont="1" applyFill="1" applyBorder="1" applyAlignment="1">
      <x:alignment horizontal="center"/>
    </x:xf>
    <x:xf numFmtId="0" fontId="0" fillId="24" borderId="0" xfId="0" applyNumberFormat="1" applyFont="1" applyFill="1" applyBorder="1"/>
    <x:xf numFmtId="0" fontId="14" fillId="24" borderId="0" xfId="0" applyNumberFormat="1" applyFont="1" applyFill="1" applyBorder="1"/>
    <x:xf numFmtId="0" fontId="14" fillId="24" borderId="0" xfId="0" applyNumberFormat="1" applyFont="1" applyFill="1" applyBorder="1" applyAlignment="1">
      <x:alignment wrapText="1"/>
    </x:xf>
    <x:xf numFmtId="0" fontId="0" fillId="25" borderId="0" xfId="0" applyNumberFormat="1" applyFont="1" applyFill="1" applyBorder="1"/>
    <x:xf numFmtId="0" fontId="12" fillId="25" borderId="0" xfId="0" applyNumberFormat="1" applyFont="1" applyFill="1" applyBorder="1"/>
    <x:xf numFmtId="0" fontId="12" fillId="25" borderId="0" xfId="0" applyNumberFormat="1" applyFont="1" applyFill="1" applyBorder="1" applyAlignment="1">
      <x:alignment wrapText="1"/>
    </x:xf>
    <x:xf numFmtId="0" fontId="12" fillId="25" borderId="0" xfId="0" applyNumberFormat="1" applyFont="1" applyFill="1" applyBorder="1" applyAlignment="1">
      <x:alignment horizontal="center" wrapText="1"/>
    </x:xf>
    <x:xf numFmtId="0" fontId="12" fillId="25" borderId="0" xfId="0" applyNumberFormat="1" applyFont="1" applyFill="1" applyBorder="1" applyAlignment="1">
      <x:alignment horizontal="center" vertical="center" wrapText="1"/>
    </x:xf>
    <x:xf numFmtId="0" fontId="16" fillId="24" borderId="0" xfId="0" applyNumberFormat="1" applyFont="1" applyFill="1" applyBorder="1"/>
    <x:xf numFmtId="0" fontId="0" fillId="26" borderId="0" xfId="0" applyNumberFormat="1" applyFont="1" applyFill="1" applyBorder="1"/>
    <x:xf numFmtId="0" fontId="16" fillId="27" borderId="0" xfId="0" applyNumberFormat="1" applyFont="1" applyFill="1" applyBorder="1"/>
    <x:xf numFmtId="0" fontId="0" fillId="27" borderId="0" xfId="0" applyNumberFormat="1" applyFont="1" applyFill="1" applyBorder="1"/>
    <x:xf numFmtId="0" fontId="16" fillId="28" borderId="0" xfId="0" applyNumberFormat="1" applyFont="1" applyFill="1" applyBorder="1"/>
    <x:xf numFmtId="0" fontId="0" fillId="28" borderId="0" xfId="0" applyNumberFormat="1" applyFont="1" applyFill="1" applyBorder="1"/>
    <x:xf numFmtId="0" fontId="16" fillId="29" borderId="0" xfId="0" applyNumberFormat="1" applyFont="1" applyFill="1" applyBorder="1"/>
    <x:xf numFmtId="0" fontId="16" fillId="30" borderId="0" xfId="0" applyNumberFormat="1" applyFont="1" applyFill="1" applyBorder="1"/>
    <x:xf numFmtId="0" fontId="16" fillId="31" borderId="0" xfId="0" applyNumberFormat="1" applyFont="1" applyFill="1" applyBorder="1"/>
    <x:xf numFmtId="0" fontId="16" fillId="32" borderId="0" xfId="0" applyNumberFormat="1" applyFont="1" applyFill="1" applyBorder="1"/>
  </x:cellXfs>
  <x:cellStyles count="1">
    <x:cellStyle name="Normal" xfId="0"/>
  </x:cellStyles>
  <x:dxfs count="11">
    <x:dxf>
      <x:font>
        <x:b/>
        <x:color rgb="FF9C0006"/>
      </x:font>
      <x:fill>
        <x:patternFill>
          <x:bgColor rgb="FFFCE4D6"/>
        </x:patternFill>
      </x:fill>
    </x:dxf>
    <x:dxf>
      <x:font>
        <x:color rgb="FF006100"/>
      </x:font>
      <x:fill>
        <x:patternFill>
          <x:bgColor rgb="FFC6EFCE"/>
        </x:patternFill>
      </x:fill>
    </x:dxf>
    <x:dxf>
      <x:font>
        <x:color rgb="FF9C0006"/>
      </x:font>
      <x:fill>
        <x:patternFill>
          <x:bgColor rgb="FFFFC7CE"/>
        </x:patternFill>
      </x:fill>
    </x:dxf>
    <x:dxf>
      <x:font>
        <x:color rgb="FF006100"/>
      </x:font>
      <x:fill>
        <x:patternFill>
          <x:bgColor rgb="FFC6EFCE"/>
        </x:patternFill>
      </x:fill>
    </x:dxf>
    <x:dxf>
      <x:font>
        <x:color rgb="FF006100"/>
      </x:font>
      <x:fill>
        <x:patternFill>
          <x:bgColor rgb="FFC6EFCE"/>
        </x:patternFill>
      </x:fill>
    </x:dxf>
    <x:dxf>
      <x:font>
        <x:color rgb="FF9C0006"/>
      </x:font>
      <x:fill>
        <x:patternFill>
          <x:bgColor rgb="FFFFC7CE"/>
        </x:patternFill>
      </x:fill>
    </x:dxf>
    <x:dxf>
      <x:font>
        <x:b/>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b/>
        <x:color rgb="FF9C0006"/>
      </x:font>
      <x:fill>
        <x:patternFill>
          <x:bgColor rgb="FFFCE4D6"/>
        </x:patternFill>
      </x:fill>
    </x:dxf>
    <x:dxf>
      <x:font>
        <x:color rgb="FF9C6500"/>
      </x:font>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6030b0cabeb4181" /><Relationship Type="http://schemas.openxmlformats.org/officeDocument/2006/relationships/theme" Target="/xl/theme/theme1.xml" Id="Rfc9af459d82643c1" /><Relationship Type="http://schemas.openxmlformats.org/officeDocument/2006/relationships/sharedStrings" Target="/xl/sharedStrings.xml" Id="R121b0c6e7c1a4d1b" /><Relationship Type="http://schemas.openxmlformats.org/officeDocument/2006/relationships/worksheet" Target="/xl/worksheets/sheet1.xml" Id="Rf42eeba1a1414bc2" /><Relationship Type="http://schemas.openxmlformats.org/officeDocument/2006/relationships/worksheet" Target="/xl/worksheets/sheet2.xml" Id="Rffc1f7c1022645a2" /><Relationship Type="http://schemas.openxmlformats.org/officeDocument/2006/relationships/worksheet" Target="/xl/worksheets/sheet3.xml" Id="R8c8d55bd72c94388" /><Relationship Type="http://schemas.openxmlformats.org/officeDocument/2006/relationships/worksheet" Target="/xl/worksheets/sheet4.xml" Id="Rc0c3cc4b84364ee4" /><Relationship Type="http://schemas.openxmlformats.org/officeDocument/2006/relationships/worksheet" Target="/xl/worksheets/sheet5.xml" Id="Rbcae17c18a614da7" /><Relationship Type="http://schemas.openxmlformats.org/officeDocument/2006/relationships/worksheet" Target="/xl/worksheets/sheet6.xml" Id="R3e659bcf709f4630" /><Relationship Type="http://schemas.openxmlformats.org/officeDocument/2006/relationships/worksheet" Target="/xl/worksheets/sheet7.xml" Id="R7f5b4591829543b1" /><Relationship Type="http://schemas.openxmlformats.org/officeDocument/2006/relationships/worksheet" Target="/xl/worksheets/sheet8.xml" Id="R94554a7e3cdc4358" /><Relationship Type="http://schemas.openxmlformats.org/officeDocument/2006/relationships/worksheet" Target="/xl/worksheets/sheet9.xml" Id="Rc28609c388124945" /><Relationship Type="http://schemas.openxmlformats.org/officeDocument/2006/relationships/worksheet" Target="/xl/worksheets/sheet10.xml" Id="R186e3a013b954339" /><Relationship Type="http://schemas.openxmlformats.org/officeDocument/2006/relationships/worksheet" Target="/xl/worksheets/sheet11.xml" Id="R17115a23ac4247ce" /><Relationship Type="http://schemas.openxmlformats.org/officeDocument/2006/relationships/worksheet" Target="/xl/worksheets/sheet12.xml" Id="R6d21872d90bf422d" /><Relationship Type="http://schemas.openxmlformats.org/officeDocument/2006/relationships/worksheet" Target="/xl/worksheets/sheet13.xml" Id="Rebad89ab3b60431f" /><Relationship Type="http://schemas.openxmlformats.org/officeDocument/2006/relationships/worksheet" Target="/xl/worksheets/sheet14.xml" Id="R1e9be92dc33d40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45e4f6eb91b4abe" /><Relationship Type="http://schemas.openxmlformats.org/officeDocument/2006/relationships/chart" Target="/xl/drawings/charts/chart2.xml" Id="Rc325b4a2a21f4d70" /><Relationship Type="http://schemas.openxmlformats.org/officeDocument/2006/relationships/chart" Target="/xl/drawings/charts/chart3.xml" Id="Rb480a5e59c224f9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Primary Studies by Evidence Group</a:t>
            </a:r>
          </a:p>
        </c:rich>
      </c:tx>
      <c:overlay val="0"/>
    </c:title>
    <c:autoTitleDeleted val="0"/>
    <c:plotArea>
      <c:layout/>
      <c:barChart>
        <c:barDir val="col"/>
        <c:grouping val="clustered"/>
        <c:varyColors val="0"/>
        <c:ser>
          <c:idx val="0"/>
          <c:order val="0"/>
          <c:tx>
            <c:v>Count</c:v>
          </c:tx>
          <c:cat>
            <c:strRef>
              <c:f>'Dashboard'!$D$4:$D$7</c:f>
              <c:strCache>
                <c:ptCount val="0"/>
              </c:strCache>
            </c:strRef>
          </c:cat>
          <c:val>
            <c:numRef>
              <c:f>'Dashboard'!$E$4:$E$7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Primary Studies by Year</a:t>
            </a:r>
          </a:p>
        </c:rich>
      </c:tx>
      <c:overlay val="0"/>
    </c:title>
    <c:autoTitleDeleted val="0"/>
    <c:plotArea>
      <c:layout/>
      <c:barChart>
        <c:barDir val="col"/>
        <c:grouping val="clustered"/>
        <c:varyColors val="0"/>
        <c:ser>
          <c:idx val="0"/>
          <c:order val="0"/>
          <c:tx>
            <c:v>Primary studies</c:v>
          </c:tx>
          <c:cat>
            <c:strRef>
              <c:f>'Dashboard'!$G$4:$G$6</c:f>
              <c:strCache>
                <c:ptCount val="0"/>
              </c:strCache>
            </c:strRef>
          </c:cat>
          <c:val>
            <c:numRef>
              <c:f>'Dashboard'!$H$4:$H$6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Publication Maturity</a:t>
            </a:r>
          </a:p>
        </c:rich>
      </c:tx>
      <c:overlay val="0"/>
    </c:title>
    <c:autoTitleDeleted val="0"/>
    <c:plotArea>
      <c:layout/>
      <c:pieChart>
        <c:ser>
          <c:idx val="0"/>
          <c:order val="0"/>
          <c:tx>
            <c:v>Count</c:v>
          </c:tx>
          <c:cat>
            <c:strRef>
              <c:f>'Dashboard'!$J$4:$J$5</c:f>
              <c:strCache>
                <c:ptCount val="0"/>
              </c:strCache>
            </c:strRef>
          </c:cat>
          <c:val>
            <c:numRef>
              <c:f>'Dashboard'!$K$4:$K$5</c:f>
              <c:numCache>
                <c:formatCode>General</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5e4f6eb91b4abe"/>
        </a:graphicData>
      </a:graphic>
    </xdr:graphicFrame>
    <xdr:clientData/>
  </xdr:twoCellAnchor>
  <xdr:twoCellAnchor>
    <xdr:from>
      <xdr:col>8</xdr:col>
      <xdr:colOff>0</xdr:colOff>
      <xdr:row>8</xdr:row>
      <xdr:rowOff>0</xdr:rowOff>
    </xdr:from>
    <xdr:to>
      <xdr:col>13</xdr:col>
      <xdr:colOff>0</xdr:colOff>
      <xdr:row>23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25b4a2a21f4d70"/>
        </a:graphicData>
      </a:graphic>
    </xdr:graphicFrame>
    <xdr:clientData/>
  </xdr:twoCellAnchor>
  <xdr:twoCellAnchor>
    <xdr:from>
      <xdr:col>3</xdr:col>
      <xdr:colOff>0</xdr:colOff>
      <xdr:row>24</xdr:row>
      <xdr:rowOff>0</xdr:rowOff>
    </xdr:from>
    <xdr:to>
      <xdr:col>8</xdr:col>
      <xdr:colOff>0</xdr:colOff>
      <xdr:row>39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80a5e59c224f9e"/>
        </a:graphicData>
      </a:graphic>
    </xdr:graphicFrame>
    <xdr:clientData/>
  </xdr:twoCellAnchor>
</xdr:wsDr>
</file>

<file path=xl/tables/table1.xml><?xml version="1.0" encoding="utf-8"?>
<x:table xmlns:x="http://schemas.openxmlformats.org/spreadsheetml/2006/main" id="1" name="ScreeningTrackerTable" displayName="ScreeningTrackerTable" ref="A4:T86" headerRowCount="1">
  <x:tableColumns count="20">
    <x:tableColumn id="1" name="Study ID"/>
    <x:tableColumn id="2" name="Short title / method"/>
    <x:tableColumn id="3" name="First author"/>
    <x:tableColumn id="4" name="Year"/>
    <x:tableColumn id="5" name="Publication status"/>
    <x:tableColumn id="6" name="Venue"/>
    <x:tableColumn id="7" name="Identifier / DOI"/>
    <x:tableColumn id="8" name="Evidence type"/>
    <x:tableColumn id="9" name="Title/Abstract R1"/>
    <x:tableColumn id="10" name="Title/Abstract R2"/>
    <x:tableColumn id="11" name="T/A consensus"/>
    <x:tableColumn id="12" name="T/A exclusion reason"/>
    <x:tableColumn id="13" name="PDF download status"/>
    <x:tableColumn id="14" name="PDF filename / local path"/>
    <x:tableColumn id="15" name="Full-text R1"/>
    <x:tableColumn id="16" name="Full-text R2"/>
    <x:tableColumn id="17" name="Final decision"/>
    <x:tableColumn id="18" name="Full-text exclusion reason"/>
    <x:tableColumn id="19" name="Priority"/>
    <x:tableColumn id="20" name="Reviewer notes"/>
  </x:tableColumns>
  <x:tableStyleInfo name="TableStyleMedium2" showRowStripes="1"/>
</x:table>
</file>

<file path=xl/tables/table2.xml><?xml version="1.0" encoding="utf-8"?>
<x:table xmlns:x="http://schemas.openxmlformats.org/spreadsheetml/2006/main" id="2" name="DataExtractionTable" displayName="DataExtractionTable" ref="A4:AH62" headerRowCount="1">
  <x:tableColumns count="34">
    <x:tableColumn id="1" name="Study ID"/>
    <x:tableColumn id="2" name="Short citation / method"/>
    <x:tableColumn id="3" name="Year"/>
    <x:tableColumn id="4" name="Publication status"/>
    <x:tableColumn id="5" name="Evidence group"/>
    <x:tableColumn id="6" name="Final inclusion"/>
    <x:tableColumn id="7" name="Agent setting"/>
    <x:tableColumn id="8" name="Memory form"/>
    <x:tableColumn id="9" name="Storage / representation"/>
    <x:tableColumn id="10" name="Memory write mechanism"/>
    <x:tableColumn id="11" name="Retrieval mechanism"/>
    <x:tableColumn id="12" name="Threat / defence mechanism"/>
    <x:tableColumn id="13" name="Attacker access / trust assumption"/>
    <x:tableColumn id="14" name="Lifecycle phase"/>
    <x:tableColumn id="15" name="Activation mode"/>
    <x:tableColumn id="16" name="Propagation scope"/>
    <x:tableColumn id="17" name="Models / systems"/>
    <x:tableColumn id="18" name="Dataset / benchmark"/>
    <x:tableColumn id="19" name="Evaluation metrics"/>
    <x:tableColumn id="20" name="Key quantitative findings"/>
    <x:tableColumn id="21" name="Forensic artefacts available"/>
    <x:tableColumn id="22" name="Evidence left by incident"/>
    <x:tableColumn id="23" name="Evidence obscured / destroyed"/>
    <x:tableColumn id="24" name="Provenance support"/>
    <x:tableColumn id="25" name="Source attribution"/>
    <x:tableColumn id="26" name="Causal reconstruction"/>
    <x:tableColumn id="27" name="Blast-radius analysis"/>
    <x:tableColumn id="28" name="Recovery / rollback"/>
    <x:tableColumn id="29" name="Post-recovery validation"/>
    <x:tableColumn id="30" name="Code / data available"/>
    <x:tableColumn id="31" name="Main limitations"/>
    <x:tableColumn id="32" name="Extractor"/>
    <x:tableColumn id="33" name="Extraction status"/>
    <x:tableColumn id="34" name="Verification notes"/>
  </x:tableColumns>
  <x:tableStyleInfo name="TableStyleMedium2" showRowStripes="1"/>
</x:table>
</file>

<file path=xl/tables/table3.xml><?xml version="1.0" encoding="utf-8"?>
<x:table xmlns:x="http://schemas.openxmlformats.org/spreadsheetml/2006/main" id="3" name="QAAssessmentTable" displayName="QAAssessmentTable" ref="A4:P62" headerRowCount="1">
  <x:tableColumns count="16">
    <x:tableColumn id="1" name="Study ID"/>
    <x:tableColumn id="2" name="Short citation"/>
    <x:tableColumn id="3" name="Threat/system model"/>
    <x:tableColumn id="4" name="Memory configuration"/>
    <x:tableColumn id="5" name="Experimental validity"/>
    <x:tableColumn id="6" name="Metrics"/>
    <x:tableColumn id="7" name="Reproducibility"/>
    <x:tableColumn id="8" name="Attack/environment realism"/>
    <x:tableColumn id="9" name="Causal-claim validity"/>
    <x:tableColumn id="10" name="Recovery completeness"/>
    <x:tableColumn id="11" name="Limitations"/>
    <x:tableColumn id="12" name="Total score"/>
    <x:tableColumn id="13" name="Quality band"/>
    <x:tableColumn id="14" name="Reviewer 1 notes"/>
    <x:tableColumn id="15" name="Reviewer 2 notes"/>
    <x:tableColumn id="16" name="Final QA status"/>
  </x:tableColumns>
  <x:tableStyleInfo name="TableStyleMedium2" showRowStripes="1"/>
</x:table>
</file>

<file path=xl/tables/table4.xml><?xml version="1.0" encoding="utf-8"?>
<x:table xmlns:x="http://schemas.openxmlformats.org/spreadsheetml/2006/main" id="4" name="PDFIntakeTable" displayName="PDFIntakeTable" ref="A4:Q80" headerRowCount="1">
  <x:tableColumns count="17">
    <x:tableColumn id="1" name="Batch"/>
    <x:tableColumn id="2" name="Study ID"/>
    <x:tableColumn id="3" name="Uploaded filename"/>
    <x:tableColumn id="4" name="Verified title"/>
    <x:tableColumn id="5" name="First author / organisation"/>
    <x:tableColumn id="6" name="Year"/>
    <x:tableColumn id="7" name="Publication / source"/>
    <x:tableColumn id="8" name="Document role"/>
    <x:tableColumn id="9" name="Core survey eligibility"/>
    <x:tableColumn id="10" name="Reason / relevance"/>
    <x:tableColumn id="11" name="PDF status"/>
    <x:tableColumn id="12" name="Local sandbox path"/>
    <x:tableColumn id="13" name="Matched corpus record"/>
    <x:tableColumn id="14" name="Metadata verified"/>
    <x:tableColumn id="15" name="Full-text extraction status"/>
    <x:tableColumn id="16" name="Notes"/>
    <x:tableColumn id="17" name="Upload dat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table" Target="/xl/tables/table1.xml" Id="R4e4a6e12a0d34552" /></Relationships>
</file>

<file path=xl/worksheets/_rels/sheet10.xml.rels>&#65279;<?xml version="1.0" encoding="utf-8"?><Relationships xmlns="http://schemas.openxmlformats.org/package/2006/relationships"><Relationship Type="http://schemas.openxmlformats.org/officeDocument/2006/relationships/table" Target="/xl/tables/table2.xml" Id="R413dfc9f28c34ab6" /></Relationships>
</file>

<file path=xl/worksheets/_rels/sheet11.xml.rels>&#65279;<?xml version="1.0" encoding="utf-8"?><Relationships xmlns="http://schemas.openxmlformats.org/package/2006/relationships"><Relationship Type="http://schemas.openxmlformats.org/officeDocument/2006/relationships/table" Target="/xl/tables/table3.xml" Id="R94b9ec3251a9479b" /></Relationships>
</file>

<file path=xl/worksheets/_rels/sheet13.xml.rels>&#65279;<?xml version="1.0" encoding="utf-8"?><Relationships xmlns="http://schemas.openxmlformats.org/package/2006/relationships"><Relationship Type="http://schemas.openxmlformats.org/officeDocument/2006/relationships/drawing" Target="/xl/drawings/drawing1.xml" Id="Ra28edeb258cb4191" /></Relationships>
</file>

<file path=xl/worksheets/_rels/sheet14.xml.rels>&#65279;<?xml version="1.0" encoding="utf-8"?><Relationships xmlns="http://schemas.openxmlformats.org/package/2006/relationships"><Relationship Type="http://schemas.openxmlformats.org/officeDocument/2006/relationships/table" Target="/xl/tables/table4.xml" Id="Re2e56ca17bf7417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42" hidden="0" customWidth="1"/>
    <x:col min="2" max="2" width="42" hidden="0" customWidth="1"/>
  </x:cols>
  <x:sheetData>
    <x:row r="1">
      <x:c r="A1" s="1" t="inlineStr">
        <x:is>
          <x:t xml:space="preserve">Revised literature &amp; differentiation pack (verification-cleaned)</x:t>
        </x:is>
      </x:c>
    </x:row>
    <x:row r="2">
      <x:c r="A2" s="2" t="inlineStr">
        <x:is>
          <x:t xml:space="preserve">For: "Forensic Readiness of Persistent-Memory LLM Agents" (Md Rashedul Islam). This revision merges my workbook with the second AI's workbook, keeps the stronger parts of each, and removes unverifiable / fabricated entries. Verified live 15 Jul 2026.</x:t>
        </x:is>
      </x:c>
    </x:row>
    <x:row r="4">
      <x:c r="A4" s="3" t="inlineStr">
        <x:is>
          <x:t xml:space="preserve"/>
        </x:is>
      </x:c>
      <x:c r="B4" s="4" t="inlineStr">
        <x:is>
          <x:t xml:space="preserve"/>
        </x:is>
      </x:c>
    </x:row>
    <x:row r="5">
      <x:c r="A5" s="5" t="inlineStr">
        <x:is>
          <x:t xml:space="preserve">Why a revision was needed</x:t>
        </x:is>
      </x:c>
      <x:c r="B5" s="6" t="inlineStr">
        <x:is>
          <x:t xml:space="preserve"/>
        </x:is>
      </x:c>
    </x:row>
    <x:row r="6">
      <x:c r="A6" s="4" t="inlineStr">
        <x:is>
          <x:t xml:space="preserve">The second AI's workbook is structurally EXCELLENT and in some ways better than mine — but it has a data-integrity problem you must not carry into a submission.</x:t>
        </x:is>
      </x:c>
      <x:c r="B6" s="4" t="inlineStr">
        <x:is>
          <x:t xml:space="preserve"/>
        </x:is>
      </x:c>
    </x:row>
    <x:row r="7">
      <x:c r="A7" s="3" t="inlineStr">
        <x:is>
          <x:t xml:space="preserve"/>
        </x:is>
      </x:c>
      <x:c r="B7" s="4" t="inlineStr">
        <x:is>
          <x:t xml:space="preserve"/>
        </x:is>
      </x:c>
    </x:row>
    <x:row r="8">
      <x:c r="A8" s="5" t="inlineStr">
        <x:is>
          <x:t xml:space="preserve">What the second AI did better (and I've adopted here)</x:t>
        </x:is>
      </x:c>
      <x:c r="B8" s="6" t="inlineStr">
        <x:is>
          <x:t xml:space="preserve"/>
        </x:is>
      </x:c>
    </x:row>
    <x:row r="9">
      <x:c r="A9" s="3" t="inlineStr">
        <x:is>
          <x:t xml:space="preserve">Reproducible search log</x:t>
        </x:is>
      </x:c>
      <x:c r="B9" s="4" t="inlineStr">
        <x:is>
          <x:t xml:space="preserve">Per-database query strings in native syntax (IEEE 'All Metadata', Scopus TITLE-ABS-KEY, WoS TS=), with search dates and honest access-limitation notes. Adopted in tab 'Search Log'.</x:t>
        </x:is>
      </x:c>
    </x:row>
    <x:row r="10">
      <x:c r="A10" s="3" t="inlineStr">
        <x:is>
          <x:t xml:space="preserve">Per-database verification columns</x:t>
        </x:is>
      </x:c>
      <x:c r="B10" s="4" t="inlineStr">
        <x:is>
          <x:t xml:space="preserve">Separate IEEE / ACM / Scopus / WoS indexing columns + an 'indexing confidence' field, so you can tick off each record against the real databases. Adopted in tab 'Literature Corpus'.</x:t>
        </x:is>
      </x:c>
    </x:row>
    <x:row r="11">
      <x:c r="A11" s="3" t="inlineStr">
        <x:is>
          <x:t xml:space="preserve">Granular overlap &amp; revision plans</x:t>
        </x:is>
      </x:c>
      <x:c r="B11" s="4" t="inlineStr">
        <x:is>
          <x:t xml:space="preserve">Their Survey_Overlap and Novelty_Plan are dimension-by-dimension and genuinely actionable. Merged into tabs 'Survey Overlap' and 'Differentiation Plan'.</x:t>
        </x:is>
      </x:c>
    </x:row>
    <x:row r="12">
      <x:c r="A12" s="4" t="inlineStr">
        <x:is>
          <x:t xml:space="preserve">Honest 'not authenticated' disclaimer</x:t>
        </x:is>
      </x:c>
      <x:c r="B12" s="4" t="inlineStr">
        <x:is>
          <x:t xml:space="preserve">They correctly flag that real Scopus/WoS counts need institutional access. Kept.</x:t>
        </x:is>
      </x:c>
    </x:row>
    <x:row r="13">
      <x:c r="A13" s="3" t="inlineStr">
        <x:is>
          <x:t xml:space="preserve"/>
        </x:is>
      </x:c>
      <x:c r="B13" s="4" t="inlineStr">
        <x:is>
          <x:t xml:space="preserve"/>
        </x:is>
      </x:c>
    </x:row>
    <x:row r="14">
      <x:c r="A14" s="5" t="inlineStr">
        <x:is>
          <x:t xml:space="preserve">What was WRONG in the second AI's workbook (fixed here)</x:t>
        </x:is>
      </x:c>
      <x:c r="B14" s="6" t="inlineStr">
        <x:is>
          <x:t xml:space="preserve"/>
        </x:is>
      </x:c>
    </x:row>
    <x:row r="15">
      <x:c r="A15" s="3" t="inlineStr">
        <x:is>
          <x:t xml:space="preserve">Fabricated placeholder rows</x:t>
        </x:is>
      </x:c>
      <x:c r="B15" s="4" t="inlineStr">
        <x:is>
          <x:t xml:space="preserve">At least 5 entries are invented or unverifiable titles with 'Unknown / verify' authors: GhostWriter, ElephantAgent, 'MemGhost/Whisper', 'Temporal Dynamics...Web3-Style', and DrunkAgent listed with a wrong generic subtitle. 'GhostWriter' and 'ElephantAgent' return ZERO hits on search — treat as hallucinated. All such rows are moved to the 'Quarantine - Unverified' tab, NOT the main corpus.</x:t>
        </x:is>
      </x:c>
    </x:row>
    <x:row r="16">
      <x:c r="A16" s="3" t="inlineStr">
        <x:is>
          <x:t xml:space="preserve">Mislabeled-but-real entries</x:t>
        </x:is>
      </x:c>
      <x:c r="B16" s="4" t="inlineStr">
        <x:is>
          <x:t xml:space="preserve">Some placeholder guesses actually point to REAL papers with wrong metadata: ID15 'Hijacking Agent Memory' is real but the method is MemPoison (arXiv:2605.29960); ID19 FARMA/SENTINEL is real (arXiv:2607.05029) but dated Jul 2026 — AFTER the survey's 13 Jul cutoff. These are corrected and dated in the corpus / quarantine tabs with notes.</x:t>
        </x:is>
      </x:c>
    </x:row>
    <x:row r="17">
      <x:c r="A17" s="4" t="inlineStr">
        <x:is>
          <x:t xml:space="preserve">Over-aggressive 'tutorial' recommendation</x:t>
        </x:is>
      </x:c>
      <x:c r="B17" s="4" t="inlineStr">
        <x:is>
          <x:t xml:space="preserve">They push hard for relabeling the paper a 'tutorial survey'. That's one option, but a 'systematic-scoping survey / SoK' is equally defensible and less limiting. See 'Differentiation Plan' note.</x:t>
        </x:is>
      </x:c>
    </x:row>
    <x:row r="18">
      <x:c r="A18" s="3" t="inlineStr">
        <x:is>
          <x:t xml:space="preserve"/>
        </x:is>
      </x:c>
      <x:c r="B18" s="4" t="inlineStr">
        <x:is>
          <x:t xml:space="preserve"/>
        </x:is>
      </x:c>
    </x:row>
    <x:row r="19">
      <x:c r="A19" s="5" t="inlineStr">
        <x:is>
          <x:t xml:space="preserve">Net advice</x:t>
        </x:is>
      </x:c>
      <x:c r="B19" s="6" t="inlineStr">
        <x:is>
          <x:t xml:space="preserve"/>
        </x:is>
      </x:c>
    </x:row>
    <x:row r="20">
      <x:c r="A20" s="4" t="inlineStr">
        <x:is>
          <x:t xml:space="preserve">Use THIS workbook's corpus (verified + quarantine separated), plus the second AI's search-log rigor (reproduced here), plus either AI's differentiation plan — they agree on substance. Do NOT paste the second AI's raw candidate list into your paper without checking each 'Unknown/verify' row against the real database; several do not exist.</x:t>
        </x:is>
      </x:c>
      <x:c r="B20" s="4" t="inlineStr">
        <x:is>
          <x:t xml:space="preserve"/>
        </x:is>
      </x:c>
    </x:row>
    <x:row r="21">
      <x:c r="A21" s="3" t="inlineStr">
        <x:is>
          <x:t xml:space="preserve"/>
        </x:is>
      </x:c>
      <x:c r="B21" s="4" t="inlineStr">
        <x:is>
          <x:t xml:space="preserve"/>
        </x:is>
      </x:c>
    </x:row>
    <x:row r="22">
      <x:c r="A22" s="5" t="inlineStr">
        <x:is>
          <x:t xml:space="preserve">Colour key — Publication status (Corpus tab)</x:t>
        </x:is>
      </x:c>
      <x:c r="B22" s="6" t="inlineStr">
        <x:is>
          <x:t xml:space="preserve"/>
        </x:is>
      </x:c>
    </x:row>
    <x:row r="23">
      <x:c r="A23" s="7" t="inlineStr">
        <x:is>
          <x:t xml:space="preserve">Peer-reviewed</x:t>
        </x:is>
      </x:c>
      <x:c r="B23" s="4" t="inlineStr">
        <x:is>
          <x:t xml:space="preserve">Confirmed peer-reviewed venue (verify exact indexing in Scopus/WoS)</x:t>
        </x:is>
      </x:c>
    </x:row>
    <x:row r="24">
      <x:c r="A24" s="8" t="inlineStr">
        <x:is>
          <x:t xml:space="preserve">Preprint</x:t>
        </x:is>
      </x:c>
      <x:c r="B24" s="4" t="inlineStr">
        <x:is>
          <x:t xml:space="preserve">arXiv / OpenReview preprint — label as such, don't count as peer-reviewed</x:t>
        </x:is>
      </x:c>
    </x:row>
    <x:row r="25">
      <x:c r="A25" s="9" t="inlineStr">
        <x:is>
          <x:t xml:space="preserve">Survey</x:t>
        </x:is>
      </x:c>
      <x:c r="B25" s="4" t="inlineStr">
        <x:is>
          <x:t xml:space="preserve">Competing or adjacent survey</x:t>
        </x:is>
      </x:c>
    </x:row>
    <x:row r="26">
      <x:c r="A26" s="10" t="inlineStr">
        <x:is>
          <x:t xml:space="preserve">Standard/Reg</x:t>
        </x:is>
      </x:c>
      <x:c r="B26" s="4" t="inlineStr">
        <x:is>
          <x:t xml:space="preserve">Standard, regulation, or normative reference</x:t>
        </x:is>
      </x:c>
    </x:row>
    <x:row r="28">
      <x:c r="A28" s="129" t="str">
        <x:v>Recommended workflow for this workbook</x:v>
      </x:c>
      <x:c r="B28" s="129" t="str"/>
    </x:row>
    <x:row r="29">
      <x:c r="A29" s="133" t="str">
        <x:v>1. Execute database searches</x:v>
      </x:c>
      <x:c r="B29" s="96" t="str">
        <x:v>Populate Search Log raw counts and export records.</x:v>
      </x:c>
    </x:row>
    <x:row r="30">
      <x:c r="A30" s="133" t="str">
        <x:v>2. Title/abstract screening</x:v>
      </x:c>
      <x:c r="B30" s="96" t="str">
        <x:v>Use Screening Tracker columns I–L with two reviewers.</x:v>
      </x:c>
    </x:row>
    <x:row r="31">
      <x:c r="A31" s="133" t="str">
        <x:v>3. Download selected PDFs</x:v>
      </x:c>
      <x:c r="B31" s="96" t="str">
        <x:v>Use columns M–N; keep consistent filenames such as S010_AgentPoison.pdf.</x:v>
      </x:c>
    </x:row>
    <x:row r="32">
      <x:c r="A32" s="133" t="str">
        <x:v>4. Full-text screening</x:v>
      </x:c>
      <x:c r="B32" s="96" t="str">
        <x:v>Use columns O–R and record one exclusion reason.</x:v>
      </x:c>
    </x:row>
    <x:row r="33">
      <x:c r="A33" s="133" t="str">
        <x:v>5. Extract included studies</x:v>
      </x:c>
      <x:c r="B33" s="96" t="str">
        <x:v>Complete Data Extraction for each included primary study.</x:v>
      </x:c>
    </x:row>
    <x:row r="34">
      <x:c r="A34" s="133" t="str">
        <x:v>6. Quality assessment</x:v>
      </x:c>
      <x:c r="B34" s="96" t="str">
        <x:v>Score QA Assessment independently; resolve disagreements.</x:v>
      </x:c>
    </x:row>
    <x:row r="35">
      <x:c r="A35" s="133" t="str">
        <x:v>7. Complete PRISMA</x:v>
      </x:c>
      <x:c r="B35" s="96" t="str">
        <x:v>Populate PRISMA inputs and verify exclusion totals.</x:v>
      </x:c>
    </x:row>
    <x:row r="36">
      <x:c r="A36" s="133" t="str">
        <x:v>8. Write evidence synthesis</x:v>
      </x:c>
      <x:c r="B36" s="96" t="str">
        <x:v>Use Dashboard and extraction tables for quantitative claims.</x:v>
      </x:c>
    </x:row>
    <x:row r="37">
      <x:c r="A37" s="133" t="str">
        <x:v>9. Archive reproducibility pack</x:v>
      </x:c>
      <x:c r="B37" s="96" t="str">
        <x:v>Keep exported records, PDFs, screening log, and final workbook together.</x:v>
      </x:c>
    </x:row>
    <x:row r="38">
      <x:c r="A38" s="137" t="str">
        <x:v>Important</x:v>
      </x:c>
      <x:c r="B38" s="137" t="str">
        <x:v>The current 82-record corpus is a verified evidence map, not the final PRISMA corpus until authenticated database searches are completed.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 customWidth="1"/>
    <x:col min="2" max="2" width="42" customWidth="1"/>
    <x:col min="3" max="3" width="12" customWidth="1"/>
    <x:col min="4" max="4" width="6" customWidth="1"/>
    <x:col min="5" max="5" width="13" customWidth="1"/>
    <x:col min="6" max="6" width="20" customWidth="1"/>
    <x:col min="7" max="7" width="15" customWidth="1"/>
    <x:col min="8" max="8" width="6" customWidth="1"/>
    <x:col min="9" max="9" width="6" customWidth="1"/>
    <x:col min="10" max="10" width="7" customWidth="1"/>
    <x:col min="11" max="11" width="6" customWidth="1"/>
    <x:col min="12" max="12" width="18" customWidth="1"/>
    <x:col min="13" max="13" width="16" customWidth="1"/>
    <x:col min="14" max="14" width="50" customWidth="1"/>
    <x:col min="15" max="15" width="10" customWidth="1"/>
    <x:col min="16" max="16" width="10" customWidth="1"/>
  </x:cols>
  <x:sheetData>
    <x:row r="1">
      <x:c r="A1" s="1" t="inlineStr">
        <x:is>
          <x:t xml:space="preserve">Literature corpus — VERIFIED (live-checked 15 Jul 2026)</x:t>
        </x:is>
      </x:c>
    </x:row>
    <x:row r="2">
      <x:c r="A2" s="11" t="inlineStr">
        <x:is>
          <x:t xml:space="preserve">Every row confirmed to exist via search. 'Indexing confidence': Confirmed = official IEEE/ACM record seen; Peer-reviewed (verify) = known venue, confirm exact Scopus/WoS record; Preprint = arXiv/OpenReview. Tick the IEEE/ACM/Scopus/WoS columns after you export from each database.</x:t>
        </x:is>
      </x:c>
    </x:row>
    <x:row r="4">
      <x:c r="A4" s="12" t="inlineStr">
        <x:is>
          <x:t xml:space="preserve">#</x:t>
        </x:is>
      </x:c>
      <x:c r="B4" s="12" t="inlineStr">
        <x:is>
          <x:t xml:space="preserve">Short name / method</x:t>
        </x:is>
      </x:c>
      <x:c r="C4" s="12" t="inlineStr">
        <x:is>
          <x:t xml:space="preserve">First author</x:t>
        </x:is>
      </x:c>
      <x:c r="D4" s="12" t="inlineStr">
        <x:is>
          <x:t xml:space="preserve">Year</x:t>
        </x:is>
      </x:c>
      <x:c r="E4" s="12" t="inlineStr">
        <x:is>
          <x:t xml:space="preserve">Pub status</x:t>
        </x:is>
      </x:c>
      <x:c r="F4" s="12" t="inlineStr">
        <x:is>
          <x:t xml:space="preserve">Venue</x:t>
        </x:is>
      </x:c>
      <x:c r="G4" s="12" t="inlineStr">
        <x:is>
          <x:t xml:space="preserve">arXiv / DOI</x:t>
        </x:is>
      </x:c>
      <x:c r="H4" s="12" t="inlineStr">
        <x:is>
          <x:t xml:space="preserve">IEEE</x:t>
        </x:is>
      </x:c>
      <x:c r="I4" s="12" t="inlineStr">
        <x:is>
          <x:t xml:space="preserve">ACM</x:t>
        </x:is>
      </x:c>
      <x:c r="J4" s="12" t="inlineStr">
        <x:is>
          <x:t xml:space="preserve">Scopus</x:t>
        </x:is>
      </x:c>
      <x:c r="K4" s="12" t="inlineStr">
        <x:is>
          <x:t xml:space="preserve">WoS</x:t>
        </x:is>
      </x:c>
      <x:c r="L4" s="12" t="inlineStr">
        <x:is>
          <x:t xml:space="preserve">Indexing confidence</x:t>
        </x:is>
      </x:c>
      <x:c r="M4" s="12" t="inlineStr">
        <x:is>
          <x:t xml:space="preserve">Type</x:t>
        </x:is>
      </x:c>
      <x:c r="N4" s="12" t="inlineStr">
        <x:is>
          <x:t xml:space="preserve">Relevance to forensic-readiness survey</x:t>
        </x:is>
      </x:c>
      <x:c r="O4" s="12" t="inlineStr">
        <x:is>
          <x:t xml:space="preserve">Cited in draft?</x:t>
        </x:is>
      </x:c>
      <x:c r="P4" s="12" t="inlineStr">
        <x:is>
          <x:t xml:space="preserve">Reviewer expects?</x:t>
        </x:is>
      </x:c>
    </x:row>
    <x:row r="5">
      <x:c r="A5" s="13" t="n">
        <x:v>1</x:v>
      </x:c>
      <x:c r="B5" s="14" t="inlineStr">
        <x:is>
          <x:t xml:space="preserve">Lin et al. — LTM Security across Lifecycle (Mnemonic Sovereignty)</x:t>
        </x:is>
      </x:c>
      <x:c r="C5" s="14" t="inlineStr">
        <x:is>
          <x:t xml:space="preserve">Lin</x:t>
        </x:is>
      </x:c>
      <x:c r="D5" s="13" t="inlineStr">
        <x:is>
          <x:t xml:space="preserve">2026</x:t>
        </x:is>
      </x:c>
      <x:c r="E5" s="15" t="inlineStr">
        <x:is>
          <x:t xml:space="preserve">Preprint</x:t>
        </x:is>
      </x:c>
      <x:c r="F5" s="14" t="inlineStr">
        <x:is>
          <x:t xml:space="preserve">arXiv</x:t>
        </x:is>
      </x:c>
      <x:c r="G5" s="14" t="inlineStr">
        <x:is>
          <x:t xml:space="preserve">2604.16548</x:t>
        </x:is>
      </x:c>
      <x:c r="H5" s="13" t="inlineStr">
        <x:is>
          <x:t xml:space="preserve"/>
        </x:is>
      </x:c>
      <x:c r="I5" s="13" t="inlineStr">
        <x:is>
          <x:t xml:space="preserve"/>
        </x:is>
      </x:c>
      <x:c r="J5" s="13" t="inlineStr">
        <x:is>
          <x:t xml:space="preserve"/>
        </x:is>
      </x:c>
      <x:c r="K5" s="13" t="inlineStr">
        <x:is>
          <x:t xml:space="preserve"/>
        </x:is>
      </x:c>
      <x:c r="L5" s="14" t="inlineStr">
        <x:is>
          <x:t xml:space="preserve">Preprint</x:t>
        </x:is>
      </x:c>
      <x:c r="M5" s="16" t="inlineStr">
        <x:is>
          <x:t xml:space="preserve">Survey</x:t>
        </x:is>
      </x:c>
      <x:c r="N5" s="14" t="inlineStr">
        <x:is>
          <x:t xml:space="preserve">PRIMARY competitor: 6-phase lifecycle x 4 objectives + VMG primitives. v1/v2 are the SAME paper.</x:t>
        </x:is>
      </x:c>
      <x:c r="O5" s="13" t="inlineStr">
        <x:is>
          <x:t xml:space="preserve">Yes</x:t>
        </x:is>
      </x:c>
      <x:c r="P5" s="13" t="inlineStr">
        <x:is>
          <x:t xml:space="preserve">Yes</x:t>
        </x:is>
      </x:c>
    </x:row>
    <x:row r="6">
      <x:c r="A6" s="13" t="n">
        <x:v>2</x:v>
      </x:c>
      <x:c r="B6" s="14" t="inlineStr">
        <x:is>
          <x:t xml:space="preserve">From Agent Traces to Trust — Evidence Tracing &amp; Execution Provenance</x:t>
        </x:is>
      </x:c>
      <x:c r="C6" s="14" t="inlineStr">
        <x:is>
          <x:t xml:space="preserve">Wang</x:t>
        </x:is>
      </x:c>
      <x:c r="D6" s="13" t="inlineStr">
        <x:is>
          <x:t xml:space="preserve">2026</x:t>
        </x:is>
      </x:c>
      <x:c r="E6" s="15" t="inlineStr">
        <x:is>
          <x:t xml:space="preserve">Preprint</x:t>
        </x:is>
      </x:c>
      <x:c r="F6" s="14" t="inlineStr">
        <x:is>
          <x:t xml:space="preserve">arXiv/OpenReview</x:t>
        </x:is>
      </x:c>
      <x:c r="G6" s="14" t="inlineStr">
        <x:is>
          <x:t xml:space="preserve">2606.04990</x:t>
        </x:is>
      </x:c>
      <x:c r="H6" s="13" t="inlineStr">
        <x:is>
          <x:t xml:space="preserve"/>
        </x:is>
      </x:c>
      <x:c r="I6" s="13" t="inlineStr">
        <x:is>
          <x:t xml:space="preserve"/>
        </x:is>
      </x:c>
      <x:c r="J6" s="13" t="inlineStr">
        <x:is>
          <x:t xml:space="preserve"/>
        </x:is>
      </x:c>
      <x:c r="K6" s="13" t="inlineStr">
        <x:is>
          <x:t xml:space="preserve"/>
        </x:is>
      </x:c>
      <x:c r="L6" s="14" t="inlineStr">
        <x:is>
          <x:t xml:space="preserve">Preprint</x:t>
        </x:is>
      </x:c>
      <x:c r="M6" s="16" t="inlineStr">
        <x:is>
          <x:t xml:space="preserve">Survey</x:t>
        </x:is>
      </x:c>
      <x:c r="N6" s="14" t="inlineStr">
        <x:is>
          <x:t xml:space="preserve">HIGHEST overlap: provenance survey w/ dedicated memory-provenance + audit/recovery + benchmark-gap.</x:t>
        </x:is>
      </x:c>
      <x:c r="O6" s="13" t="inlineStr">
        <x:is>
          <x:t xml:space="preserve">Yes</x:t>
        </x:is>
      </x:c>
      <x:c r="P6" s="13" t="inlineStr">
        <x:is>
          <x:t xml:space="preserve">Yes</x:t>
        </x:is>
      </x:c>
    </x:row>
    <x:row r="7">
      <x:c r="A7" s="13" t="n">
        <x:v>3</x:v>
      </x:c>
      <x:c r="B7" s="14" t="inlineStr">
        <x:is>
          <x:t xml:space="preserve">Always-On Agents — Persistent Memory, State &amp; Governance</x:t>
        </x:is>
      </x:c>
      <x:c r="C7" s="14" t="inlineStr">
        <x:is>
          <x:t xml:space="preserve">(Always-On)</x:t>
        </x:is>
      </x:c>
      <x:c r="D7" s="13" t="inlineStr">
        <x:is>
          <x:t xml:space="preserve">2026</x:t>
        </x:is>
      </x:c>
      <x:c r="E7" s="15" t="inlineStr">
        <x:is>
          <x:t xml:space="preserve">Preprint</x:t>
        </x:is>
      </x:c>
      <x:c r="F7" s="14" t="inlineStr">
        <x:is>
          <x:t xml:space="preserve">arXiv</x:t>
        </x:is>
      </x:c>
      <x:c r="G7" s="14" t="inlineStr">
        <x:is>
          <x:t xml:space="preserve">2606.30306</x:t>
        </x:is>
      </x:c>
      <x:c r="H7" s="13" t="inlineStr">
        <x:is>
          <x:t xml:space="preserve"/>
        </x:is>
      </x:c>
      <x:c r="I7" s="13" t="inlineStr">
        <x:is>
          <x:t xml:space="preserve"/>
        </x:is>
      </x:c>
      <x:c r="J7" s="13" t="inlineStr">
        <x:is>
          <x:t xml:space="preserve"/>
        </x:is>
      </x:c>
      <x:c r="K7" s="13" t="inlineStr">
        <x:is>
          <x:t xml:space="preserve"/>
        </x:is>
      </x:c>
      <x:c r="L7" s="14" t="inlineStr">
        <x:is>
          <x:t xml:space="preserve">Preprint</x:t>
        </x:is>
      </x:c>
      <x:c r="M7" s="16" t="inlineStr">
        <x:is>
          <x:t xml:space="preserve">Survey</x:t>
        </x:is>
      </x:c>
      <x:c r="N7" s="14" t="inlineStr">
        <x:is>
          <x:t xml:space="preserve">Persistent-state survey; makes authority &amp; recoverability first-class. Add to Table 11.</x:t>
        </x:is>
      </x:c>
      <x:c r="O7" s="15" t="inlineStr">
        <x:is>
          <x:t xml:space="preserve">No</x:t>
        </x:is>
      </x:c>
      <x:c r="P7" s="13" t="inlineStr">
        <x:is>
          <x:t xml:space="preserve">Yes</x:t>
        </x:is>
      </x:c>
    </x:row>
    <x:row r="8">
      <x:c r="A8" s="13" t="n">
        <x:v>4</x:v>
      </x:c>
      <x:c r="B8" s="14" t="inlineStr">
        <x:is>
          <x:t xml:space="preserve">Memory in the Age of AI Agents</x:t>
        </x:is>
      </x:c>
      <x:c r="C8" s="14" t="inlineStr">
        <x:is>
          <x:t xml:space="preserve">Hu</x:t>
        </x:is>
      </x:c>
      <x:c r="D8" s="13" t="str">
        <x:v>2026</x:v>
      </x:c>
      <x:c r="E8" s="15" t="str">
        <x:v>Preprint</x:v>
      </x:c>
      <x:c r="F8" s="14" t="str">
        <x:v>arXiv</x:v>
      </x:c>
      <x:c r="G8" s="14" t="inlineStr">
        <x:is>
          <x:t xml:space="preserve">2512.13564</x:t>
        </x:is>
      </x:c>
      <x:c r="H8" s="13" t="inlineStr">
        <x:is>
          <x:t xml:space="preserve"/>
        </x:is>
      </x:c>
      <x:c r="I8" s="13" t="inlineStr">
        <x:is>
          <x:t xml:space="preserve"/>
        </x:is>
      </x:c>
      <x:c r="J8" s="13" t="inlineStr">
        <x:is>
          <x:t xml:space="preserve"/>
        </x:is>
      </x:c>
      <x:c r="K8" s="13" t="inlineStr">
        <x:is>
          <x:t xml:space="preserve"/>
        </x:is>
      </x:c>
      <x:c r="L8" s="14" t="str">
        <x:v>Preprint</x:v>
      </x:c>
      <x:c r="M8" s="16" t="inlineStr">
        <x:is>
          <x:t xml:space="preserve">Survey</x:t>
        </x:is>
      </x:c>
      <x:c r="N8" s="14" t="inlineStr">
        <x:is>
          <x:t xml:space="preserve">General agent-memory overview; same RAG-vs-agent-memory distinction you use.</x:t>
        </x:is>
      </x:c>
      <x:c r="O8" s="13" t="inlineStr">
        <x:is>
          <x:t xml:space="preserve">Yes</x:t>
        </x:is>
      </x:c>
      <x:c r="P8" s="13" t="inlineStr">
        <x:is>
          <x:t xml:space="preserve">Yes</x:t>
        </x:is>
      </x:c>
    </x:row>
    <x:row r="9">
      <x:c r="A9" s="13" t="n">
        <x:v>5</x:v>
      </x:c>
      <x:c r="B9" s="14" t="inlineStr">
        <x:is>
          <x:t xml:space="preserve">Survey on Memory Mechanism of LLM-based Agents</x:t>
        </x:is>
      </x:c>
      <x:c r="C9" s="14" t="inlineStr">
        <x:is>
          <x:t xml:space="preserve">Zhang</x:t>
        </x:is>
      </x:c>
      <x:c r="D9" s="13" t="inlineStr">
        <x:is>
          <x:t xml:space="preserve">2025</x:t>
        </x:is>
      </x:c>
      <x:c r="E9" s="17" t="str">
        <x:v>Peer-reviewed</x:v>
      </x:c>
      <x:c r="F9" s="14" t="str">
        <x:v>ACM TOIS 43(6)</x:v>
      </x:c>
      <x:c r="G9" s="14" t="inlineStr">
        <x:is>
          <x:t xml:space="preserve">10.1145/3661638</x:t>
        </x:is>
      </x:c>
      <x:c r="H9" s="13" t="inlineStr">
        <x:is>
          <x:t xml:space="preserve"/>
        </x:is>
      </x:c>
      <x:c r="I9" s="13" t="inlineStr">
        <x:is>
          <x:t xml:space="preserve"/>
        </x:is>
      </x:c>
      <x:c r="J9" s="13" t="inlineStr">
        <x:is>
          <x:t xml:space="preserve"/>
        </x:is>
      </x:c>
      <x:c r="K9" s="13" t="inlineStr">
        <x:is>
          <x:t xml:space="preserve"/>
        </x:is>
      </x:c>
      <x:c r="L9" s="14" t="str">
        <x:v>Peer-reviewed</x:v>
      </x:c>
      <x:c r="M9" s="16" t="inlineStr">
        <x:is>
          <x:t xml:space="preserve">Survey</x:t>
        </x:is>
      </x:c>
      <x:c r="N9" s="14" t="inlineStr">
        <x:is>
          <x:t xml:space="preserve">Canonical mechanism survey; peer-reviewed baseline you extend toward forensics.</x:t>
        </x:is>
      </x:c>
      <x:c r="O9" s="13" t="inlineStr">
        <x:is>
          <x:t xml:space="preserve">Yes</x:t>
        </x:is>
      </x:c>
      <x:c r="P9" s="13" t="inlineStr">
        <x:is>
          <x:t xml:space="preserve">Yes</x:t>
        </x:is>
      </x:c>
    </x:row>
    <x:row r="10">
      <x:c r="A10" s="13" t="n">
        <x:v>6</x:v>
      </x:c>
      <x:c r="B10" s="14" t="inlineStr">
        <x:is>
          <x:t xml:space="preserve">Towards Secure RAG — Threats, Defenses, Benchmarks</x:t>
        </x:is>
      </x:c>
      <x:c r="C10" s="14" t="inlineStr">
        <x:is>
          <x:t xml:space="preserve">Mu</x:t>
        </x:is>
      </x:c>
      <x:c r="D10" s="13" t="inlineStr">
        <x:is>
          <x:t xml:space="preserve">2026</x:t>
        </x:is>
      </x:c>
      <x:c r="E10" s="15" t="inlineStr">
        <x:is>
          <x:t xml:space="preserve">Preprint</x:t>
        </x:is>
      </x:c>
      <x:c r="F10" s="14" t="inlineStr">
        <x:is>
          <x:t xml:space="preserve">arXiv</x:t>
        </x:is>
      </x:c>
      <x:c r="G10" s="14" t="inlineStr">
        <x:is>
          <x:t xml:space="preserve">2603.21654</x:t>
        </x:is>
      </x:c>
      <x:c r="H10" s="13" t="inlineStr">
        <x:is>
          <x:t xml:space="preserve"/>
        </x:is>
      </x:c>
      <x:c r="I10" s="13" t="inlineStr">
        <x:is>
          <x:t xml:space="preserve"/>
        </x:is>
      </x:c>
      <x:c r="J10" s="13" t="inlineStr">
        <x:is>
          <x:t xml:space="preserve"/>
        </x:is>
      </x:c>
      <x:c r="K10" s="13" t="inlineStr">
        <x:is>
          <x:t xml:space="preserve"/>
        </x:is>
      </x:c>
      <x:c r="L10" s="14" t="inlineStr">
        <x:is>
          <x:t xml:space="preserve">Preprint</x:t>
        </x:is>
      </x:c>
      <x:c r="M10" s="16" t="inlineStr">
        <x:is>
          <x:t xml:space="preserve">Survey</x:t>
        </x:is>
      </x:c>
      <x:c r="N10" s="14" t="inlineStr">
        <x:is>
          <x:t xml:space="preserve">RAG-security review; adjacent — distinguish agent write-path from RAG corpus.</x:t>
        </x:is>
      </x:c>
      <x:c r="O10" s="13" t="inlineStr">
        <x:is>
          <x:t xml:space="preserve">Yes</x:t>
        </x:is>
      </x:c>
      <x:c r="P10" s="13" t="inlineStr">
        <x:is>
          <x:t xml:space="preserve">Yes</x:t>
        </x:is>
      </x:c>
    </x:row>
    <x:row r="11">
      <x:c r="A11" s="13" t="n">
        <x:v>7</x:v>
      </x:c>
      <x:c r="B11" s="14" t="inlineStr">
        <x:is>
          <x:t xml:space="preserve">Security of LLM-based Agents (Attacks/Defenses/Applications)</x:t>
        </x:is>
      </x:c>
      <x:c r="C11" s="14" t="inlineStr">
        <x:is>
          <x:t xml:space="preserve">Tang</x:t>
        </x:is>
      </x:c>
      <x:c r="D11" s="13" t="inlineStr">
        <x:is>
          <x:t xml:space="preserve">2026</x:t>
        </x:is>
      </x:c>
      <x:c r="E11" s="17" t="str">
        <x:v>Peer-reviewed</x:v>
      </x:c>
      <x:c r="F11" s="14" t="str">
        <x:v>Information Fusion 127 (2026) 103941</x:v>
      </x:c>
      <x:c r="G11" s="14" t="inlineStr">
        <x:is>
          <x:t xml:space="preserve">10.1016/j.inffus.2025.103941</x:t>
        </x:is>
      </x:c>
      <x:c r="H11" s="13" t="inlineStr">
        <x:is>
          <x:t xml:space="preserve"/>
        </x:is>
      </x:c>
      <x:c r="I11" s="13" t="inlineStr">
        <x:is>
          <x:t xml:space="preserve"/>
        </x:is>
      </x:c>
      <x:c r="J11" s="13" t="inlineStr">
        <x:is>
          <x:t xml:space="preserve"/>
        </x:is>
      </x:c>
      <x:c r="K11" s="13" t="inlineStr">
        <x:is>
          <x:t xml:space="preserve"/>
        </x:is>
      </x:c>
      <x:c r="L11" s="14" t="str">
        <x:v>Peer-reviewed</x:v>
      </x:c>
      <x:c r="M11" s="16" t="inlineStr">
        <x:is>
          <x:t xml:space="preserve">Survey</x:t>
        </x:is>
      </x:c>
      <x:c r="N11" s="14" t="inlineStr">
        <x:is>
          <x:t xml:space="preserve">Broad agent-security survey; memory is one slice. Broader-but-shallower contrast.</x:t>
        </x:is>
      </x:c>
      <x:c r="O11" s="13" t="inlineStr">
        <x:is>
          <x:t xml:space="preserve">Yes</x:t>
        </x:is>
      </x:c>
      <x:c r="P11" s="13" t="inlineStr">
        <x:is>
          <x:t xml:space="preserve">Yes</x:t>
        </x:is>
      </x:c>
    </x:row>
    <x:row r="12">
      <x:c r="A12" s="13" t="n">
        <x:v>8</x:v>
      </x:c>
      <x:c r="B12" s="14" t="inlineStr">
        <x:is>
          <x:t xml:space="preserve">AI Meets Brain — Memory Systems Neuroscience to Agents</x:t>
        </x:is>
      </x:c>
      <x:c r="C12" s="14" t="inlineStr">
        <x:is>
          <x:t xml:space="preserve">Liang</x:t>
        </x:is>
      </x:c>
      <x:c r="D12" s="13" t="inlineStr">
        <x:is>
          <x:t xml:space="preserve">2025</x:t>
        </x:is>
      </x:c>
      <x:c r="E12" s="15" t="inlineStr">
        <x:is>
          <x:t xml:space="preserve">Preprint</x:t>
        </x:is>
      </x:c>
      <x:c r="F12" s="14" t="inlineStr">
        <x:is>
          <x:t xml:space="preserve">arXiv</x:t>
        </x:is>
      </x:c>
      <x:c r="G12" s="14" t="inlineStr">
        <x:is>
          <x:t xml:space="preserve">2512.23343</x:t>
        </x:is>
      </x:c>
      <x:c r="H12" s="13" t="inlineStr">
        <x:is>
          <x:t xml:space="preserve"/>
        </x:is>
      </x:c>
      <x:c r="I12" s="13" t="inlineStr">
        <x:is>
          <x:t xml:space="preserve"/>
        </x:is>
      </x:c>
      <x:c r="J12" s="13" t="inlineStr">
        <x:is>
          <x:t xml:space="preserve"/>
        </x:is>
      </x:c>
      <x:c r="K12" s="13" t="inlineStr">
        <x:is>
          <x:t xml:space="preserve"/>
        </x:is>
      </x:c>
      <x:c r="L12" s="14" t="inlineStr">
        <x:is>
          <x:t xml:space="preserve">Preprint</x:t>
        </x:is>
      </x:c>
      <x:c r="M12" s="16" t="inlineStr">
        <x:is>
          <x:t xml:space="preserve">Survey</x:t>
        </x:is>
      </x:c>
      <x:c r="N12" s="14" t="inlineStr">
        <x:is>
          <x:t xml:space="preserve">Neuroscience-to-agent memory survey; adjacent to your human-memory grounding.</x:t>
        </x:is>
      </x:c>
      <x:c r="O12" s="13" t="inlineStr">
        <x:is>
          <x:t xml:space="preserve">Yes</x:t>
        </x:is>
      </x:c>
      <x:c r="P12" s="13" t="inlineStr">
        <x:is>
          <x:t xml:space="preserve">No</x:t>
        </x:is>
      </x:c>
    </x:row>
    <x:row r="13">
      <x:c r="A13" s="13" t="n">
        <x:v>9</x:v>
      </x:c>
      <x:c r="B13" s="14" t="inlineStr">
        <x:is>
          <x:t xml:space="preserve">From Storage to Experience — Evolution of Agent Memory</x:t>
        </x:is>
      </x:c>
      <x:c r="C13" s="14" t="inlineStr">
        <x:is>
          <x:t xml:space="preserve">Luo</x:t>
        </x:is>
      </x:c>
      <x:c r="D13" s="13" t="inlineStr">
        <x:is>
          <x:t xml:space="preserve">2026</x:t>
        </x:is>
      </x:c>
      <x:c r="E13" s="15" t="str">
        <x:v>Preprint</x:v>
      </x:c>
      <x:c r="F13" s="14" t="str">
        <x:v>arXiv</x:v>
      </x:c>
      <x:c r="G13" s="14" t="str">
        <x:v>2605.06716</x:v>
      </x:c>
      <x:c r="H13" s="13" t="inlineStr">
        <x:is>
          <x:t xml:space="preserve"/>
        </x:is>
      </x:c>
      <x:c r="I13" s="13" t="inlineStr">
        <x:is>
          <x:t xml:space="preserve"/>
        </x:is>
      </x:c>
      <x:c r="J13" s="13" t="inlineStr">
        <x:is>
          <x:t xml:space="preserve"/>
        </x:is>
      </x:c>
      <x:c r="K13" s="13" t="inlineStr">
        <x:is>
          <x:t xml:space="preserve"/>
        </x:is>
      </x:c>
      <x:c r="L13" s="14" t="inlineStr">
        <x:is>
          <x:t xml:space="preserve">Preprint</x:t>
        </x:is>
      </x:c>
      <x:c r="M13" s="16" t="inlineStr">
        <x:is>
          <x:t xml:space="preserve">Survey</x:t>
        </x:is>
      </x:c>
      <x:c r="N13" s="14" t="inlineStr">
        <x:is>
          <x:t xml:space="preserve">Memory-mechanism survey (capability). Cite as mechanism reference.</x:t>
        </x:is>
      </x:c>
      <x:c r="O13" s="13" t="inlineStr">
        <x:is>
          <x:t xml:space="preserve">Yes</x:t>
        </x:is>
      </x:c>
      <x:c r="P13" s="13" t="inlineStr">
        <x:is>
          <x:t xml:space="preserve">No</x:t>
        </x:is>
      </x:c>
    </x:row>
    <x:row r="14">
      <x:c r="A14" s="13" t="n">
        <x:v>10</x:v>
      </x:c>
      <x:c r="B14" s="14" t="inlineStr">
        <x:is>
          <x:t xml:space="preserve">AgentPoison — poisoning memory/KB</x:t>
        </x:is>
      </x:c>
      <x:c r="C14" s="14" t="inlineStr">
        <x:is>
          <x:t xml:space="preserve">Chen</x:t>
        </x:is>
      </x:c>
      <x:c r="D14" s="13" t="inlineStr">
        <x:is>
          <x:t xml:space="preserve">2024</x:t>
        </x:is>
      </x:c>
      <x:c r="E14" s="17" t="str">
        <x:v>Peer-reviewed</x:v>
      </x:c>
      <x:c r="F14" s="14" t="str">
        <x:v>NeurIPS 2024</x:v>
      </x:c>
      <x:c r="G14" s="14" t="inlineStr">
        <x:is>
          <x:t xml:space="preserve">2407.12784</x:t>
        </x:is>
      </x:c>
      <x:c r="H14" s="13" t="inlineStr">
        <x:is>
          <x:t xml:space="preserve"/>
        </x:is>
      </x:c>
      <x:c r="I14" s="13" t="inlineStr">
        <x:is>
          <x:t xml:space="preserve"/>
        </x:is>
      </x:c>
      <x:c r="J14" s="13" t="inlineStr">
        <x:is>
          <x:t xml:space="preserve"/>
        </x:is>
      </x:c>
      <x:c r="K14" s="13" t="inlineStr">
        <x:is>
          <x:t xml:space="preserve"/>
        </x:is>
      </x:c>
      <x:c r="L14" s="14" t="str">
        <x:v>Peer-reviewed</x:v>
      </x:c>
      <x:c r="M14" s="18" t="inlineStr">
        <x:is>
          <x:t xml:space="preserve">Attack</x:t>
        </x:is>
      </x:c>
      <x:c r="N14" s="14" t="inlineStr">
        <x:is>
          <x:t xml:space="preserve">Foundational memory/KB backdoor (&lt;0.1% rate, &gt;80% ASR). Must-cite.</x:t>
        </x:is>
      </x:c>
      <x:c r="O14" s="13" t="inlineStr">
        <x:is>
          <x:t xml:space="preserve">Yes</x:t>
        </x:is>
      </x:c>
      <x:c r="P14" s="13" t="inlineStr">
        <x:is>
          <x:t xml:space="preserve">Yes</x:t>
        </x:is>
      </x:c>
    </x:row>
    <x:row r="15">
      <x:c r="A15" s="13" t="n">
        <x:v>11</x:v>
      </x:c>
      <x:c r="B15" s="14" t="inlineStr">
        <x:is>
          <x:t xml:space="preserve">MINJA — memory injection, query-only</x:t>
        </x:is>
      </x:c>
      <x:c r="C15" s="14" t="inlineStr">
        <x:is>
          <x:t xml:space="preserve">Dong</x:t>
        </x:is>
      </x:c>
      <x:c r="D15" s="13" t="inlineStr">
        <x:is>
          <x:t xml:space="preserve">2025</x:t>
        </x:is>
      </x:c>
      <x:c r="E15" s="17" t="str">
        <x:v>Peer-reviewed</x:v>
      </x:c>
      <x:c r="F15" s="14" t="str">
        <x:v>NeurIPS 2025</x:v>
      </x:c>
      <x:c r="G15" s="14" t="inlineStr">
        <x:is>
          <x:t xml:space="preserve">2503.03704</x:t>
        </x:is>
      </x:c>
      <x:c r="H15" s="13" t="inlineStr">
        <x:is>
          <x:t xml:space="preserve"/>
        </x:is>
      </x:c>
      <x:c r="I15" s="13" t="inlineStr">
        <x:is>
          <x:t xml:space="preserve"/>
        </x:is>
      </x:c>
      <x:c r="J15" s="13" t="inlineStr">
        <x:is>
          <x:t xml:space="preserve"/>
        </x:is>
      </x:c>
      <x:c r="K15" s="13" t="inlineStr">
        <x:is>
          <x:t xml:space="preserve"/>
        </x:is>
      </x:c>
      <x:c r="L15" s="14" t="str">
        <x:v>Peer-reviewed</x:v>
      </x:c>
      <x:c r="M15" s="18" t="inlineStr">
        <x:is>
          <x:t xml:space="preserve">Attack</x:t>
        </x:is>
      </x:c>
      <x:c r="N15" s="14" t="inlineStr">
        <x:is>
          <x:t xml:space="preserve">Query-only durable writes; no DB access. Core write-path attack.</x:t>
        </x:is>
      </x:c>
      <x:c r="O15" s="13" t="inlineStr">
        <x:is>
          <x:t xml:space="preserve">Yes</x:t>
        </x:is>
      </x:c>
      <x:c r="P15" s="13" t="inlineStr">
        <x:is>
          <x:t xml:space="preserve">Yes</x:t>
        </x:is>
      </x:c>
    </x:row>
    <x:row r="16">
      <x:c r="A16" s="13" t="n">
        <x:v>12</x:v>
      </x:c>
      <x:c r="B16" s="14" t="inlineStr">
        <x:is>
          <x:t xml:space="preserve">MEXTRA — Unveiling Privacy Risks in Agent Memory</x:t>
        </x:is>
      </x:c>
      <x:c r="C16" s="14" t="inlineStr">
        <x:is>
          <x:t xml:space="preserve">Wang</x:t>
        </x:is>
      </x:c>
      <x:c r="D16" s="13" t="inlineStr">
        <x:is>
          <x:t xml:space="preserve">2025</x:t>
        </x:is>
      </x:c>
      <x:c r="E16" s="17" t="str">
        <x:v>Peer-reviewed</x:v>
      </x:c>
      <x:c r="F16" s="14" t="str">
        <x:v>ACL 2025</x:v>
      </x:c>
      <x:c r="G16" s="14" t="inlineStr">
        <x:is>
          <x:t xml:space="preserve">2502.13172</x:t>
        </x:is>
      </x:c>
      <x:c r="H16" s="13" t="inlineStr">
        <x:is>
          <x:t xml:space="preserve"/>
        </x:is>
      </x:c>
      <x:c r="I16" s="13" t="inlineStr">
        <x:is>
          <x:t xml:space="preserve"/>
        </x:is>
      </x:c>
      <x:c r="J16" s="13" t="inlineStr">
        <x:is>
          <x:t xml:space="preserve"/>
        </x:is>
      </x:c>
      <x:c r="K16" s="13" t="inlineStr">
        <x:is>
          <x:t xml:space="preserve"/>
        </x:is>
      </x:c>
      <x:c r="L16" s="14" t="str">
        <x:v>Peer-reviewed</x:v>
      </x:c>
      <x:c r="M16" s="18" t="inlineStr">
        <x:is>
          <x:t xml:space="preserve">Attack</x:t>
        </x:is>
      </x:c>
      <x:c r="N16" s="14" t="inlineStr">
        <x:is>
          <x:t xml:space="preserve">Black-box memory extraction; leakage scales with store. Core confidentiality attack.</x:t>
        </x:is>
      </x:c>
      <x:c r="O16" s="13" t="inlineStr">
        <x:is>
          <x:t xml:space="preserve">Yes</x:t>
        </x:is>
      </x:c>
      <x:c r="P16" s="13" t="inlineStr">
        <x:is>
          <x:t xml:space="preserve">Yes</x:t>
        </x:is>
      </x:c>
    </x:row>
    <x:row r="17">
      <x:c r="A17" s="13" t="n">
        <x:v>13</x:v>
      </x:c>
      <x:c r="B17" s="14" t="inlineStr">
        <x:is>
          <x:t xml:space="preserve">eTAMP / Poison Once Exploit Forever — env-injected web-agent</x:t>
        </x:is>
      </x:c>
      <x:c r="C17" s="14" t="inlineStr">
        <x:is>
          <x:t xml:space="preserve">Zou</x:t>
        </x:is>
      </x:c>
      <x:c r="D17" s="13" t="inlineStr">
        <x:is>
          <x:t xml:space="preserve">2026</x:t>
        </x:is>
      </x:c>
      <x:c r="E17" s="15" t="inlineStr">
        <x:is>
          <x:t xml:space="preserve">Preprint</x:t>
        </x:is>
      </x:c>
      <x:c r="F17" s="14" t="inlineStr">
        <x:is>
          <x:t xml:space="preserve">arXiv</x:t>
        </x:is>
      </x:c>
      <x:c r="G17" s="14" t="inlineStr">
        <x:is>
          <x:t xml:space="preserve">2604.02623</x:t>
        </x:is>
      </x:c>
      <x:c r="H17" s="13" t="inlineStr">
        <x:is>
          <x:t xml:space="preserve"/>
        </x:is>
      </x:c>
      <x:c r="I17" s="13" t="inlineStr">
        <x:is>
          <x:t xml:space="preserve"/>
        </x:is>
      </x:c>
      <x:c r="J17" s="13" t="inlineStr">
        <x:is>
          <x:t xml:space="preserve"/>
        </x:is>
      </x:c>
      <x:c r="K17" s="13" t="inlineStr">
        <x:is>
          <x:t xml:space="preserve"/>
        </x:is>
      </x:c>
      <x:c r="L17" s="14" t="inlineStr">
        <x:is>
          <x:t xml:space="preserve">Preprint</x:t>
        </x:is>
      </x:c>
      <x:c r="M17" s="18" t="inlineStr">
        <x:is>
          <x:t xml:space="preserve">Attack</x:t>
        </x:is>
      </x:c>
      <x:c r="N17" s="14" t="inlineStr">
        <x:is>
          <x:t xml:space="preserve">Environment-only web-observation poisoning; cross-site. Key write-path escalation.</x:t>
        </x:is>
      </x:c>
      <x:c r="O17" s="13" t="inlineStr">
        <x:is>
          <x:t xml:space="preserve">Yes</x:t>
        </x:is>
      </x:c>
      <x:c r="P17" s="13" t="inlineStr">
        <x:is>
          <x:t xml:space="preserve">Yes</x:t>
        </x:is>
      </x:c>
    </x:row>
    <x:row r="18">
      <x:c r="A18" s="13" t="n">
        <x:v>14</x:v>
      </x:c>
      <x:c r="B18" s="14" t="inlineStr">
        <x:is>
          <x:t xml:space="preserve">InjecMEM — memory injection on memory systems</x:t>
        </x:is>
      </x:c>
      <x:c r="C18" s="14" t="inlineStr">
        <x:is>
          <x:t xml:space="preserve">Tian</x:t>
        </x:is>
      </x:c>
      <x:c r="D18" s="13" t="inlineStr">
        <x:is>
          <x:t xml:space="preserve">2026</x:t>
        </x:is>
      </x:c>
      <x:c r="E18" s="15" t="inlineStr">
        <x:is>
          <x:t xml:space="preserve">Preprint</x:t>
        </x:is>
      </x:c>
      <x:c r="F18" s="14" t="inlineStr">
        <x:is>
          <x:t xml:space="preserve">OpenReview</x:t>
        </x:is>
      </x:c>
      <x:c r="G18" s="14" t="inlineStr">
        <x:is>
          <x:t xml:space="preserve">QVX6hcJ2um</x:t>
        </x:is>
      </x:c>
      <x:c r="H18" s="13" t="inlineStr">
        <x:is>
          <x:t xml:space="preserve"/>
        </x:is>
      </x:c>
      <x:c r="I18" s="13" t="inlineStr">
        <x:is>
          <x:t xml:space="preserve"/>
        </x:is>
      </x:c>
      <x:c r="J18" s="13" t="inlineStr">
        <x:is>
          <x:t xml:space="preserve"/>
        </x:is>
      </x:c>
      <x:c r="K18" s="13" t="inlineStr">
        <x:is>
          <x:t xml:space="preserve"/>
        </x:is>
      </x:c>
      <x:c r="L18" s="14" t="inlineStr">
        <x:is>
          <x:t xml:space="preserve">Preprint</x:t>
        </x:is>
      </x:c>
      <x:c r="M18" s="18" t="inlineStr">
        <x:is>
          <x:t xml:space="preserve">Attack</x:t>
        </x:is>
      </x:c>
      <x:c r="N18" s="14" t="inlineStr">
        <x:is>
          <x:t xml:space="preserve">Retriever-agnostic anchoring; 76.6% ASR on MemoryOS.</x:t>
        </x:is>
      </x:c>
      <x:c r="O18" s="13" t="inlineStr">
        <x:is>
          <x:t xml:space="preserve">Yes</x:t>
        </x:is>
      </x:c>
      <x:c r="P18" s="13" t="inlineStr">
        <x:is>
          <x:t xml:space="preserve">Yes</x:t>
        </x:is>
      </x:c>
    </x:row>
    <x:row r="19">
      <x:c r="A19" s="13" t="n">
        <x:v>15</x:v>
      </x:c>
      <x:c r="B19" s="14" t="inlineStr">
        <x:is>
          <x:t xml:space="preserve">MemoryGraft — poisoned experience retrieval</x:t>
        </x:is>
      </x:c>
      <x:c r="C19" s="14" t="inlineStr">
        <x:is>
          <x:t xml:space="preserve">Srivastava</x:t>
        </x:is>
      </x:c>
      <x:c r="D19" s="13" t="inlineStr">
        <x:is>
          <x:t xml:space="preserve">2025</x:t>
        </x:is>
      </x:c>
      <x:c r="E19" s="15" t="inlineStr">
        <x:is>
          <x:t xml:space="preserve">Preprint</x:t>
        </x:is>
      </x:c>
      <x:c r="F19" s="14" t="inlineStr">
        <x:is>
          <x:t xml:space="preserve">arXiv</x:t>
        </x:is>
      </x:c>
      <x:c r="G19" s="14" t="inlineStr">
        <x:is>
          <x:t xml:space="preserve">2512.16962</x:t>
        </x:is>
      </x:c>
      <x:c r="H19" s="13" t="inlineStr">
        <x:is>
          <x:t xml:space="preserve"/>
        </x:is>
      </x:c>
      <x:c r="I19" s="13" t="inlineStr">
        <x:is>
          <x:t xml:space="preserve"/>
        </x:is>
      </x:c>
      <x:c r="J19" s="13" t="inlineStr">
        <x:is>
          <x:t xml:space="preserve"/>
        </x:is>
      </x:c>
      <x:c r="K19" s="13" t="inlineStr">
        <x:is>
          <x:t xml:space="preserve"/>
        </x:is>
      </x:c>
      <x:c r="L19" s="14" t="inlineStr">
        <x:is>
          <x:t xml:space="preserve">Preprint</x:t>
        </x:is>
      </x:c>
      <x:c r="M19" s="18" t="inlineStr">
        <x:is>
          <x:t xml:space="preserve">Attack</x:t>
        </x:is>
      </x:c>
      <x:c r="N19" s="14" t="inlineStr">
        <x:is>
          <x:t xml:space="preserve">Procedural/experience grafting, trigger-free. Retrieve-to-execute threat.</x:t>
        </x:is>
      </x:c>
      <x:c r="O19" s="13" t="inlineStr">
        <x:is>
          <x:t xml:space="preserve">Yes</x:t>
        </x:is>
      </x:c>
      <x:c r="P19" s="13" t="inlineStr">
        <x:is>
          <x:t xml:space="preserve">Yes</x:t>
        </x:is>
      </x:c>
    </x:row>
    <x:row r="20">
      <x:c r="A20" s="13" t="n">
        <x:v>16</x:v>
      </x:c>
      <x:c r="B20" s="14" t="inlineStr">
        <x:is>
          <x:t xml:space="preserve">MCFA / From Storage to Steering — memory control-flow</x:t>
        </x:is>
      </x:c>
      <x:c r="C20" s="14" t="inlineStr">
        <x:is>
          <x:t xml:space="preserve">Xu</x:t>
        </x:is>
      </x:c>
      <x:c r="D20" s="13" t="inlineStr">
        <x:is>
          <x:t xml:space="preserve">2026</x:t>
        </x:is>
      </x:c>
      <x:c r="E20" s="15" t="inlineStr">
        <x:is>
          <x:t xml:space="preserve">Preprint</x:t>
        </x:is>
      </x:c>
      <x:c r="F20" s="14" t="inlineStr">
        <x:is>
          <x:t xml:space="preserve">arXiv</x:t>
        </x:is>
      </x:c>
      <x:c r="G20" s="14" t="inlineStr">
        <x:is>
          <x:t xml:space="preserve">2603.15125</x:t>
        </x:is>
      </x:c>
      <x:c r="H20" s="13" t="inlineStr">
        <x:is>
          <x:t xml:space="preserve"/>
        </x:is>
      </x:c>
      <x:c r="I20" s="13" t="inlineStr">
        <x:is>
          <x:t xml:space="preserve"/>
        </x:is>
      </x:c>
      <x:c r="J20" s="13" t="inlineStr">
        <x:is>
          <x:t xml:space="preserve"/>
        </x:is>
      </x:c>
      <x:c r="K20" s="13" t="inlineStr">
        <x:is>
          <x:t xml:space="preserve"/>
        </x:is>
      </x:c>
      <x:c r="L20" s="14" t="inlineStr">
        <x:is>
          <x:t xml:space="preserve">Preprint</x:t>
        </x:is>
      </x:c>
      <x:c r="M20" s="18" t="inlineStr">
        <x:is>
          <x:t xml:space="preserve">Attack</x:t>
        </x:is>
      </x:c>
      <x:c r="N20" s="14" t="inlineStr">
        <x:is>
          <x:t xml:space="preserve">Retrieved memory overrides user instructions &amp; dictates tool calls.</x:t>
        </x:is>
      </x:c>
      <x:c r="O20" s="13" t="inlineStr">
        <x:is>
          <x:t xml:space="preserve">Yes</x:t>
        </x:is>
      </x:c>
      <x:c r="P20" s="13" t="inlineStr">
        <x:is>
          <x:t xml:space="preserve">Yes</x:t>
        </x:is>
      </x:c>
    </x:row>
    <x:row r="21">
      <x:c r="A21" s="13" t="n">
        <x:v>17</x:v>
      </x:c>
      <x:c r="B21" s="14" t="inlineStr">
        <x:is>
          <x:t xml:space="preserve">Trojan Hippo — weaponizing memory for exfiltration</x:t>
        </x:is>
      </x:c>
      <x:c r="C21" s="14" t="inlineStr">
        <x:is>
          <x:t xml:space="preserve">Das</x:t>
        </x:is>
      </x:c>
      <x:c r="D21" s="13" t="inlineStr">
        <x:is>
          <x:t xml:space="preserve">2026</x:t>
        </x:is>
      </x:c>
      <x:c r="E21" s="15" t="inlineStr">
        <x:is>
          <x:t xml:space="preserve">Preprint</x:t>
        </x:is>
      </x:c>
      <x:c r="F21" s="14" t="inlineStr">
        <x:is>
          <x:t xml:space="preserve">arXiv</x:t>
        </x:is>
      </x:c>
      <x:c r="G21" s="14" t="inlineStr">
        <x:is>
          <x:t xml:space="preserve">2605.01970</x:t>
        </x:is>
      </x:c>
      <x:c r="H21" s="13" t="inlineStr">
        <x:is>
          <x:t xml:space="preserve"/>
        </x:is>
      </x:c>
      <x:c r="I21" s="13" t="inlineStr">
        <x:is>
          <x:t xml:space="preserve"/>
        </x:is>
      </x:c>
      <x:c r="J21" s="13" t="inlineStr">
        <x:is>
          <x:t xml:space="preserve"/>
        </x:is>
      </x:c>
      <x:c r="K21" s="13" t="inlineStr">
        <x:is>
          <x:t xml:space="preserve"/>
        </x:is>
      </x:c>
      <x:c r="L21" s="14" t="inlineStr">
        <x:is>
          <x:t xml:space="preserve">Preprint</x:t>
        </x:is>
      </x:c>
      <x:c r="M21" s="18" t="inlineStr">
        <x:is>
          <x:t xml:space="preserve">Attack</x:t>
        </x:is>
      </x:c>
      <x:c r="N21" s="14" t="inlineStr">
        <x:is>
          <x:t xml:space="preserve">Dormant single-tool-call payload; topic-triggered exfiltration + adaptive red-team benchmark.</x:t>
        </x:is>
      </x:c>
      <x:c r="O21" s="13" t="inlineStr">
        <x:is>
          <x:t xml:space="preserve">Yes</x:t>
        </x:is>
      </x:c>
      <x:c r="P21" s="13" t="inlineStr">
        <x:is>
          <x:t xml:space="preserve">Yes</x:t>
        </x:is>
      </x:c>
    </x:row>
    <x:row r="22">
      <x:c r="A22" s="13" t="n">
        <x:v>18</x:v>
      </x:c>
      <x:c r="B22" s="14" t="inlineStr">
        <x:is>
          <x:t xml:space="preserve">Hidden in Memory — sleeper memory poisoning</x:t>
        </x:is>
      </x:c>
      <x:c r="C22" s="14" t="inlineStr">
        <x:is>
          <x:t xml:space="preserve">Pulipaka</x:t>
        </x:is>
      </x:c>
      <x:c r="D22" s="13" t="inlineStr">
        <x:is>
          <x:t xml:space="preserve">2026</x:t>
        </x:is>
      </x:c>
      <x:c r="E22" s="15" t="inlineStr">
        <x:is>
          <x:t xml:space="preserve">Preprint</x:t>
        </x:is>
      </x:c>
      <x:c r="F22" s="14" t="inlineStr">
        <x:is>
          <x:t xml:space="preserve">arXiv</x:t>
        </x:is>
      </x:c>
      <x:c r="G22" s="14" t="inlineStr">
        <x:is>
          <x:t xml:space="preserve">2605.15338</x:t>
        </x:is>
      </x:c>
      <x:c r="H22" s="13" t="inlineStr">
        <x:is>
          <x:t xml:space="preserve"/>
        </x:is>
      </x:c>
      <x:c r="I22" s="13" t="inlineStr">
        <x:is>
          <x:t xml:space="preserve"/>
        </x:is>
      </x:c>
      <x:c r="J22" s="13" t="inlineStr">
        <x:is>
          <x:t xml:space="preserve"/>
        </x:is>
      </x:c>
      <x:c r="K22" s="13" t="inlineStr">
        <x:is>
          <x:t xml:space="preserve"/>
        </x:is>
      </x:c>
      <x:c r="L22" s="14" t="inlineStr">
        <x:is>
          <x:t xml:space="preserve">Preprint</x:t>
        </x:is>
      </x:c>
      <x:c r="M22" s="18" t="inlineStr">
        <x:is>
          <x:t xml:space="preserve">Attack</x:t>
        </x:is>
      </x:c>
      <x:c r="N22" s="14" t="inlineStr">
        <x:is>
          <x:t xml:space="preserve">Sleeper poisoning separating write from activation; universal single-shot payloads.</x:t>
        </x:is>
      </x:c>
      <x:c r="O22" s="13" t="inlineStr">
        <x:is>
          <x:t xml:space="preserve">Yes</x:t>
        </x:is>
      </x:c>
      <x:c r="P22" s="13" t="inlineStr">
        <x:is>
          <x:t xml:space="preserve">Yes</x:t>
        </x:is>
      </x:c>
    </x:row>
    <x:row r="23">
      <x:c r="A23" s="13" t="n">
        <x:v>19</x:v>
      </x:c>
      <x:c r="B23" s="14" t="inlineStr">
        <x:is>
          <x:t xml:space="preserve">From Untrusted Input to Trusted Memory + MPBench</x:t>
        </x:is>
      </x:c>
      <x:c r="C23" s="14" t="inlineStr">
        <x:is>
          <x:t xml:space="preserve">Dash</x:t>
        </x:is>
      </x:c>
      <x:c r="D23" s="13" t="inlineStr">
        <x:is>
          <x:t xml:space="preserve">2026</x:t>
        </x:is>
      </x:c>
      <x:c r="E23" s="15" t="str">
        <x:v>Peer-reviewed workshop</x:v>
      </x:c>
      <x:c r="F23" s="14" t="str">
        <x:v>ICML 2026 AIWILD Workshop</x:v>
      </x:c>
      <x:c r="G23" s="14" t="inlineStr">
        <x:is>
          <x:t xml:space="preserve">2606.04329</x:t>
        </x:is>
      </x:c>
      <x:c r="H23" s="13" t="inlineStr">
        <x:is>
          <x:t xml:space="preserve"/>
        </x:is>
      </x:c>
      <x:c r="I23" s="13" t="inlineStr">
        <x:is>
          <x:t xml:space="preserve"/>
        </x:is>
      </x:c>
      <x:c r="J23" s="13" t="inlineStr">
        <x:is>
          <x:t xml:space="preserve"/>
        </x:is>
      </x:c>
      <x:c r="K23" s="13" t="inlineStr">
        <x:is>
          <x:t xml:space="preserve"/>
        </x:is>
      </x:c>
      <x:c r="L23" s="14" t="str">
        <x:v>Peer-reviewed workshop</x:v>
      </x:c>
      <x:c r="M23" s="18" t="inlineStr">
        <x:is>
          <x:t xml:space="preserve">Attack</x:t>
        </x:is>
      </x:c>
      <x:c r="N23" s="14" t="inlineStr">
        <x:is>
          <x:t xml:space="preserve">9 structural vulns, 4 write channels, MPBench (ASR 50%, RSR 41%). Must-cite.</x:t>
        </x:is>
      </x:c>
      <x:c r="O23" s="13" t="inlineStr">
        <x:is>
          <x:t xml:space="preserve">Yes</x:t>
        </x:is>
      </x:c>
      <x:c r="P23" s="13" t="inlineStr">
        <x:is>
          <x:t xml:space="preserve">Yes</x:t>
        </x:is>
      </x:c>
    </x:row>
    <x:row r="24">
      <x:c r="A24" s="13" t="n">
        <x:v>20</x:v>
      </x:c>
      <x:c r="B24" s="14" t="inlineStr">
        <x:is>
          <x:t xml:space="preserve">MemMorph — tool-use hijacking via memory</x:t>
        </x:is>
      </x:c>
      <x:c r="C24" s="14" t="inlineStr">
        <x:is>
          <x:t xml:space="preserve">Zhang</x:t>
        </x:is>
      </x:c>
      <x:c r="D24" s="13" t="inlineStr">
        <x:is>
          <x:t xml:space="preserve">2026</x:t>
        </x:is>
      </x:c>
      <x:c r="E24" s="15" t="inlineStr">
        <x:is>
          <x:t xml:space="preserve">Preprint</x:t>
        </x:is>
      </x:c>
      <x:c r="F24" s="14" t="inlineStr">
        <x:is>
          <x:t xml:space="preserve">arXiv</x:t>
        </x:is>
      </x:c>
      <x:c r="G24" s="14" t="inlineStr">
        <x:is>
          <x:t xml:space="preserve">2605.26154</x:t>
        </x:is>
      </x:c>
      <x:c r="H24" s="13" t="inlineStr">
        <x:is>
          <x:t xml:space="preserve"/>
        </x:is>
      </x:c>
      <x:c r="I24" s="13" t="inlineStr">
        <x:is>
          <x:t xml:space="preserve"/>
        </x:is>
      </x:c>
      <x:c r="J24" s="13" t="inlineStr">
        <x:is>
          <x:t xml:space="preserve"/>
        </x:is>
      </x:c>
      <x:c r="K24" s="13" t="inlineStr">
        <x:is>
          <x:t xml:space="preserve"/>
        </x:is>
      </x:c>
      <x:c r="L24" s="14" t="inlineStr">
        <x:is>
          <x:t xml:space="preserve">Preprint</x:t>
        </x:is>
      </x:c>
      <x:c r="M24" s="18" t="inlineStr">
        <x:is>
          <x:t xml:space="preserve">Attack</x:t>
        </x:is>
      </x:c>
      <x:c r="N24" s="14" t="inlineStr">
        <x:is>
          <x:t xml:space="preserve">Tool-use hijacking through persistent memory. Execute-phase.</x:t>
        </x:is>
      </x:c>
      <x:c r="O24" s="13" t="inlineStr">
        <x:is>
          <x:t xml:space="preserve">Yes</x:t>
        </x:is>
      </x:c>
      <x:c r="P24" s="13" t="inlineStr">
        <x:is>
          <x:t xml:space="preserve">No</x:t>
        </x:is>
      </x:c>
    </x:row>
    <x:row r="25">
      <x:c r="A25" s="13" t="n">
        <x:v>21</x:v>
      </x:c>
      <x:c r="B25" s="14" t="inlineStr">
        <x:is>
          <x:t xml:space="preserve">Zombie Agents — persistent control via self-reinforcing injection</x:t>
        </x:is>
      </x:c>
      <x:c r="C25" s="14" t="inlineStr">
        <x:is>
          <x:t xml:space="preserve">Yang</x:t>
        </x:is>
      </x:c>
      <x:c r="D25" s="13" t="inlineStr">
        <x:is>
          <x:t xml:space="preserve">2026</x:t>
        </x:is>
      </x:c>
      <x:c r="E25" s="15" t="inlineStr">
        <x:is>
          <x:t xml:space="preserve">Preprint</x:t>
        </x:is>
      </x:c>
      <x:c r="F25" s="14" t="inlineStr">
        <x:is>
          <x:t xml:space="preserve">arXiv</x:t>
        </x:is>
      </x:c>
      <x:c r="G25" s="14" t="inlineStr">
        <x:is>
          <x:t xml:space="preserve">2602.15654</x:t>
        </x:is>
      </x:c>
      <x:c r="H25" s="13" t="inlineStr">
        <x:is>
          <x:t xml:space="preserve"/>
        </x:is>
      </x:c>
      <x:c r="I25" s="13" t="inlineStr">
        <x:is>
          <x:t xml:space="preserve"/>
        </x:is>
      </x:c>
      <x:c r="J25" s="13" t="inlineStr">
        <x:is>
          <x:t xml:space="preserve"/>
        </x:is>
      </x:c>
      <x:c r="K25" s="13" t="inlineStr">
        <x:is>
          <x:t xml:space="preserve"/>
        </x:is>
      </x:c>
      <x:c r="L25" s="14" t="inlineStr">
        <x:is>
          <x:t xml:space="preserve">Preprint</x:t>
        </x:is>
      </x:c>
      <x:c r="M25" s="18" t="inlineStr">
        <x:is>
          <x:t xml:space="preserve">Attack</x:t>
        </x:is>
      </x:c>
      <x:c r="N25" s="14" t="inlineStr">
        <x:is>
          <x:t xml:space="preserve">Reanimating dormant poisoned memory. Forget/rollback reappearance.</x:t>
        </x:is>
      </x:c>
      <x:c r="O25" s="13" t="inlineStr">
        <x:is>
          <x:t xml:space="preserve">Yes</x:t>
        </x:is>
      </x:c>
      <x:c r="P25" s="13" t="inlineStr">
        <x:is>
          <x:t xml:space="preserve">No</x:t>
        </x:is>
      </x:c>
    </x:row>
    <x:row r="26">
      <x:c r="A26" s="13" t="n">
        <x:v>22</x:v>
      </x:c>
      <x:c r="B26" s="14" t="inlineStr">
        <x:is>
          <x:t xml:space="preserve">No Attacker Needed — unintentional cross-user contamination</x:t>
        </x:is>
      </x:c>
      <x:c r="C26" s="14" t="inlineStr">
        <x:is>
          <x:t xml:space="preserve">Yang</x:t>
        </x:is>
      </x:c>
      <x:c r="D26" s="13" t="inlineStr">
        <x:is>
          <x:t xml:space="preserve">2026</x:t>
        </x:is>
      </x:c>
      <x:c r="E26" s="15" t="inlineStr">
        <x:is>
          <x:t xml:space="preserve">Preprint</x:t>
        </x:is>
      </x:c>
      <x:c r="F26" s="14" t="inlineStr">
        <x:is>
          <x:t xml:space="preserve">arXiv</x:t>
        </x:is>
      </x:c>
      <x:c r="G26" s="14" t="inlineStr">
        <x:is>
          <x:t xml:space="preserve">2604.01350</x:t>
        </x:is>
      </x:c>
      <x:c r="H26" s="13" t="inlineStr">
        <x:is>
          <x:t xml:space="preserve"/>
        </x:is>
      </x:c>
      <x:c r="I26" s="13" t="inlineStr">
        <x:is>
          <x:t xml:space="preserve"/>
        </x:is>
      </x:c>
      <x:c r="J26" s="13" t="inlineStr">
        <x:is>
          <x:t xml:space="preserve"/>
        </x:is>
      </x:c>
      <x:c r="K26" s="13" t="inlineStr">
        <x:is>
          <x:t xml:space="preserve"/>
        </x:is>
      </x:c>
      <x:c r="L26" s="14" t="inlineStr">
        <x:is>
          <x:t xml:space="preserve">Preprint</x:t>
        </x:is>
      </x:c>
      <x:c r="M26" s="18" t="inlineStr">
        <x:is>
          <x:t xml:space="preserve">Attack</x:t>
        </x:is>
      </x:c>
      <x:c r="N26" s="14" t="inlineStr">
        <x:is>
          <x:t xml:space="preserve">Non-adversarial cross-user contamination. Supports your benign-risk framing.</x:t>
        </x:is>
      </x:c>
      <x:c r="O26" s="13" t="inlineStr">
        <x:is>
          <x:t xml:space="preserve">Yes</x:t>
        </x:is>
      </x:c>
      <x:c r="P26" s="13" t="inlineStr">
        <x:is>
          <x:t xml:space="preserve">Yes</x:t>
        </x:is>
      </x:c>
    </x:row>
    <x:row r="27">
      <x:c r="A27" s="13" t="n">
        <x:v>23</x:v>
      </x:c>
      <x:c r="B27" s="14" t="inlineStr">
        <x:is>
          <x:t xml:space="preserve">Skill-Inject — malicious procedures into skill memory</x:t>
        </x:is>
      </x:c>
      <x:c r="C27" s="14" t="inlineStr">
        <x:is>
          <x:t xml:space="preserve">Schmotz</x:t>
        </x:is>
      </x:c>
      <x:c r="D27" s="13" t="inlineStr">
        <x:is>
          <x:t xml:space="preserve">2026</x:t>
        </x:is>
      </x:c>
      <x:c r="E27" s="15" t="inlineStr">
        <x:is>
          <x:t xml:space="preserve">Preprint</x:t>
        </x:is>
      </x:c>
      <x:c r="F27" s="14" t="inlineStr">
        <x:is>
          <x:t xml:space="preserve">arXiv</x:t>
        </x:is>
      </x:c>
      <x:c r="G27" s="14" t="inlineStr">
        <x:is>
          <x:t xml:space="preserve">2602.20156</x:t>
        </x:is>
      </x:c>
      <x:c r="H27" s="13" t="inlineStr">
        <x:is>
          <x:t xml:space="preserve"/>
        </x:is>
      </x:c>
      <x:c r="I27" s="13" t="inlineStr">
        <x:is>
          <x:t xml:space="preserve"/>
        </x:is>
      </x:c>
      <x:c r="J27" s="13" t="inlineStr">
        <x:is>
          <x:t xml:space="preserve"/>
        </x:is>
      </x:c>
      <x:c r="K27" s="13" t="inlineStr">
        <x:is>
          <x:t xml:space="preserve"/>
        </x:is>
      </x:c>
      <x:c r="L27" s="14" t="inlineStr">
        <x:is>
          <x:t xml:space="preserve">Preprint</x:t>
        </x:is>
      </x:c>
      <x:c r="M27" s="18" t="inlineStr">
        <x:is>
          <x:t xml:space="preserve">Attack</x:t>
        </x:is>
      </x:c>
      <x:c r="N27" s="14" t="inlineStr">
        <x:is>
          <x:t xml:space="preserve">Injection into skill/procedural memory. Procedural-corruption class.</x:t>
        </x:is>
      </x:c>
      <x:c r="O27" s="13" t="inlineStr">
        <x:is>
          <x:t xml:space="preserve">Yes</x:t>
        </x:is>
      </x:c>
      <x:c r="P27" s="13" t="inlineStr">
        <x:is>
          <x:t xml:space="preserve">No</x:t>
        </x:is>
      </x:c>
    </x:row>
    <x:row r="28">
      <x:c r="A28" s="13" t="n">
        <x:v>24</x:v>
      </x:c>
      <x:c r="B28" s="14" t="inlineStr">
        <x:is>
          <x:t xml:space="preserve">Visual Inception — multimodal memory poisoning</x:t>
        </x:is>
      </x:c>
      <x:c r="C28" s="14" t="inlineStr">
        <x:is>
          <x:t xml:space="preserve">Qian</x:t>
        </x:is>
      </x:c>
      <x:c r="D28" s="13" t="inlineStr">
        <x:is>
          <x:t xml:space="preserve">2026</x:t>
        </x:is>
      </x:c>
      <x:c r="E28" s="15" t="inlineStr">
        <x:is>
          <x:t xml:space="preserve">Preprint</x:t>
        </x:is>
      </x:c>
      <x:c r="F28" s="14" t="inlineStr">
        <x:is>
          <x:t xml:space="preserve">arXiv</x:t>
        </x:is>
      </x:c>
      <x:c r="G28" s="14" t="inlineStr">
        <x:is>
          <x:t xml:space="preserve">2604.16966</x:t>
        </x:is>
      </x:c>
      <x:c r="H28" s="13" t="inlineStr">
        <x:is>
          <x:t xml:space="preserve"/>
        </x:is>
      </x:c>
      <x:c r="I28" s="13" t="inlineStr">
        <x:is>
          <x:t xml:space="preserve"/>
        </x:is>
      </x:c>
      <x:c r="J28" s="13" t="inlineStr">
        <x:is>
          <x:t xml:space="preserve"/>
        </x:is>
      </x:c>
      <x:c r="K28" s="13" t="inlineStr">
        <x:is>
          <x:t xml:space="preserve"/>
        </x:is>
      </x:c>
      <x:c r="L28" s="14" t="inlineStr">
        <x:is>
          <x:t xml:space="preserve">Preprint</x:t>
        </x:is>
      </x:c>
      <x:c r="M28" s="18" t="inlineStr">
        <x:is>
          <x:t xml:space="preserve">Attack</x:t>
        </x:is>
      </x:c>
      <x:c r="N28" s="14" t="inlineStr">
        <x:is>
          <x:t xml:space="preserve">Multimodal poisoning + counterfactual causal influence. Breadth.</x:t>
        </x:is>
      </x:c>
      <x:c r="O28" s="13" t="inlineStr">
        <x:is>
          <x:t xml:space="preserve">Yes</x:t>
        </x:is>
      </x:c>
      <x:c r="P28" s="13" t="inlineStr">
        <x:is>
          <x:t xml:space="preserve">No</x:t>
        </x:is>
      </x:c>
    </x:row>
    <x:row r="29">
      <x:c r="A29" s="13" t="n">
        <x:v>25</x:v>
      </x:c>
      <x:c r="B29" s="14" t="inlineStr">
        <x:is>
          <x:t xml:space="preserve">PoisonedRAG — knowledge corruption of RAG</x:t>
        </x:is>
      </x:c>
      <x:c r="C29" s="14" t="inlineStr">
        <x:is>
          <x:t xml:space="preserve">Zou</x:t>
        </x:is>
      </x:c>
      <x:c r="D29" s="13" t="str">
        <x:v>2024</x:v>
      </x:c>
      <x:c r="E29" s="17" t="str">
        <x:v>Peer-reviewed (verify final venue)</x:v>
      </x:c>
      <x:c r="F29" s="14" t="str">
        <x:v>USENIX Security (verify)</x:v>
      </x:c>
      <x:c r="G29" s="14" t="inlineStr">
        <x:is>
          <x:t xml:space="preserve">2402.07867</x:t>
        </x:is>
      </x:c>
      <x:c r="H29" s="13" t="inlineStr">
        <x:is>
          <x:t xml:space="preserve"/>
        </x:is>
      </x:c>
      <x:c r="I29" s="13" t="inlineStr">
        <x:is>
          <x:t xml:space="preserve"/>
        </x:is>
      </x:c>
      <x:c r="J29" s="13" t="inlineStr">
        <x:is>
          <x:t xml:space="preserve"/>
        </x:is>
      </x:c>
      <x:c r="K29" s="13" t="inlineStr">
        <x:is>
          <x:t xml:space="preserve"/>
        </x:is>
      </x:c>
      <x:c r="L29" s="14" t="str">
        <x:v>Peer-reviewed (metadata to verify)</x:v>
      </x:c>
      <x:c r="M29" s="18" t="inlineStr">
        <x:is>
          <x:t xml:space="preserve">Attack</x:t>
        </x:is>
      </x:c>
      <x:c r="N29" s="14" t="inlineStr">
        <x:is>
          <x:t xml:space="preserve">Canonical RAG corpus poisoning. Contrast RAG vs agent-memory write path.</x:t>
        </x:is>
      </x:c>
      <x:c r="O29" s="13" t="inlineStr">
        <x:is>
          <x:t xml:space="preserve">Yes</x:t>
        </x:is>
      </x:c>
      <x:c r="P29" s="13" t="inlineStr">
        <x:is>
          <x:t xml:space="preserve">Yes</x:t>
        </x:is>
      </x:c>
    </x:row>
    <x:row r="30">
      <x:c r="A30" s="13" t="n">
        <x:v>26</x:v>
      </x:c>
      <x:c r="B30" s="14" t="inlineStr">
        <x:is>
          <x:t xml:space="preserve">Agent Smith — one image jailbreaks a million agents</x:t>
        </x:is>
      </x:c>
      <x:c r="C30" s="14" t="inlineStr">
        <x:is>
          <x:t xml:space="preserve">Gu</x:t>
        </x:is>
      </x:c>
      <x:c r="D30" s="13" t="inlineStr">
        <x:is>
          <x:t xml:space="preserve">2024</x:t>
        </x:is>
      </x:c>
      <x:c r="E30" s="17" t="str">
        <x:v>Peer-reviewed</x:v>
      </x:c>
      <x:c r="F30" s="14" t="str">
        <x:v>ICML 2024</x:v>
      </x:c>
      <x:c r="G30" s="14" t="inlineStr">
        <x:is>
          <x:t xml:space="preserve">2402.08567</x:t>
        </x:is>
      </x:c>
      <x:c r="H30" s="13" t="inlineStr">
        <x:is>
          <x:t xml:space="preserve"/>
        </x:is>
      </x:c>
      <x:c r="I30" s="13" t="inlineStr">
        <x:is>
          <x:t xml:space="preserve"/>
        </x:is>
      </x:c>
      <x:c r="J30" s="13" t="inlineStr">
        <x:is>
          <x:t xml:space="preserve"/>
        </x:is>
      </x:c>
      <x:c r="K30" s="13" t="inlineStr">
        <x:is>
          <x:t xml:space="preserve"/>
        </x:is>
      </x:c>
      <x:c r="L30" s="14" t="str">
        <x:v>Peer-reviewed</x:v>
      </x:c>
      <x:c r="M30" s="18" t="inlineStr">
        <x:is>
          <x:t xml:space="preserve">Attack</x:t>
        </x:is>
      </x:c>
      <x:c r="N30" s="14" t="inlineStr">
        <x:is>
          <x:t xml:space="preserve">Exponential multi-agent propagation. Core share/propagate.</x:t>
        </x:is>
      </x:c>
      <x:c r="O30" s="13" t="inlineStr">
        <x:is>
          <x:t xml:space="preserve">Yes</x:t>
        </x:is>
      </x:c>
      <x:c r="P30" s="13" t="inlineStr">
        <x:is>
          <x:t xml:space="preserve">Yes</x:t>
        </x:is>
      </x:c>
    </x:row>
    <x:row r="31">
      <x:c r="A31" s="13" t="n">
        <x:v>27</x:v>
      </x:c>
      <x:c r="B31" s="14" t="inlineStr">
        <x:is>
          <x:t xml:space="preserve">ComPromptMized — zero-click self-replicating GenAI worm</x:t>
        </x:is>
      </x:c>
      <x:c r="C31" s="14" t="inlineStr">
        <x:is>
          <x:t xml:space="preserve">Cohen</x:t>
        </x:is>
      </x:c>
      <x:c r="D31" s="13" t="inlineStr">
        <x:is>
          <x:t xml:space="preserve">2025</x:t>
        </x:is>
      </x:c>
      <x:c r="E31" s="17" t="inlineStr">
        <x:is>
          <x:t xml:space="preserve">Peer-reviewed</x:t>
        </x:is>
      </x:c>
      <x:c r="F31" s="14" t="inlineStr">
        <x:is>
          <x:t xml:space="preserve">ACM CCS 2025</x:t>
        </x:is>
      </x:c>
      <x:c r="G31" s="14" t="inlineStr">
        <x:is>
          <x:t xml:space="preserve">2403.02817</x:t>
        </x:is>
      </x:c>
      <x:c r="H31" s="13" t="inlineStr">
        <x:is>
          <x:t xml:space="preserve"/>
        </x:is>
      </x:c>
      <x:c r="I31" s="13" t="inlineStr">
        <x:is>
          <x:t xml:space="preserve"/>
        </x:is>
      </x:c>
      <x:c r="J31" s="13" t="inlineStr">
        <x:is>
          <x:t xml:space="preserve"/>
        </x:is>
      </x:c>
      <x:c r="K31" s="13" t="inlineStr">
        <x:is>
          <x:t xml:space="preserve"/>
        </x:is>
      </x:c>
      <x:c r="L31" s="14" t="inlineStr">
        <x:is>
          <x:t xml:space="preserve">Peer-reviewed (verify)</x:t>
        </x:is>
      </x:c>
      <x:c r="M31" s="18" t="inlineStr">
        <x:is>
          <x:t xml:space="preserve">Attack</x:t>
        </x:is>
      </x:c>
      <x:c r="N31" s="14" t="inlineStr">
        <x:is>
          <x:t xml:space="preserve">Self-replicating email-assistant worm. Propagation blast-radius.</x:t>
        </x:is>
      </x:c>
      <x:c r="O31" s="13" t="inlineStr">
        <x:is>
          <x:t xml:space="preserve">Yes</x:t>
        </x:is>
      </x:c>
      <x:c r="P31" s="13" t="inlineStr">
        <x:is>
          <x:t xml:space="preserve">Yes</x:t>
        </x:is>
      </x:c>
    </x:row>
    <x:row r="32">
      <x:c r="A32" s="13" t="n">
        <x:v>28</x:v>
      </x:c>
      <x:c r="B32" s="14" t="inlineStr">
        <x:is>
          <x:t xml:space="preserve">Ghost of the Past — privacy leakage of LLM memory</x:t>
        </x:is>
      </x:c>
      <x:c r="C32" s="14" t="inlineStr">
        <x:is>
          <x:t xml:space="preserve">Zhang</x:t>
        </x:is>
      </x:c>
      <x:c r="D32" s="13" t="str">
        <x:v>2023</x:v>
      </x:c>
      <x:c r="E32" s="15" t="str">
        <x:v>Peer-reviewed</x:v>
      </x:c>
      <x:c r="F32" s="14" t="str">
        <x:v>CHI 2023</x:v>
      </x:c>
      <x:c r="G32" s="14" t="inlineStr">
        <x:is>
          <x:t xml:space="preserve">2410.14931</x:t>
        </x:is>
      </x:c>
      <x:c r="H32" s="13" t="inlineStr">
        <x:is>
          <x:t xml:space="preserve"/>
        </x:is>
      </x:c>
      <x:c r="I32" s="13" t="inlineStr">
        <x:is>
          <x:t xml:space="preserve"/>
        </x:is>
      </x:c>
      <x:c r="J32" s="13" t="inlineStr">
        <x:is>
          <x:t xml:space="preserve"/>
        </x:is>
      </x:c>
      <x:c r="K32" s="13" t="inlineStr">
        <x:is>
          <x:t xml:space="preserve"/>
        </x:is>
      </x:c>
      <x:c r="L32" s="14" t="str">
        <x:v>Peer-reviewed</x:v>
      </x:c>
      <x:c r="M32" s="18" t="inlineStr">
        <x:is>
          <x:t xml:space="preserve">Attack</x:t>
        </x:is>
      </x:c>
      <x:c r="N32" s="14" t="inlineStr">
        <x:is>
          <x:t xml:space="preserve">Residual privacy leakage. Forget-phase residue.</x:t>
        </x:is>
      </x:c>
      <x:c r="O32" s="13" t="inlineStr">
        <x:is>
          <x:t xml:space="preserve">Yes</x:t>
        </x:is>
      </x:c>
      <x:c r="P32" s="13" t="inlineStr">
        <x:is>
          <x:t xml:space="preserve">Yes</x:t>
        </x:is>
      </x:c>
    </x:row>
    <x:row r="33">
      <x:c r="A33" s="13" t="n">
        <x:v>29</x:v>
      </x:c>
      <x:c r="B33" s="14" t="inlineStr">
        <x:is>
          <x:t xml:space="preserve">Cross-session Stored Prompt Injection in Agentic Systems</x:t>
        </x:is>
      </x:c>
      <x:c r="C33" s="14" t="inlineStr">
        <x:is>
          <x:t xml:space="preserve">Xie</x:t>
        </x:is>
      </x:c>
      <x:c r="D33" s="13" t="inlineStr">
        <x:is>
          <x:t xml:space="preserve">2026</x:t>
        </x:is>
      </x:c>
      <x:c r="E33" s="15" t="inlineStr">
        <x:is>
          <x:t xml:space="preserve">Preprint</x:t>
        </x:is>
      </x:c>
      <x:c r="F33" s="14" t="inlineStr">
        <x:is>
          <x:t xml:space="preserve">arXiv</x:t>
        </x:is>
      </x:c>
      <x:c r="G33" s="14" t="inlineStr">
        <x:is>
          <x:t xml:space="preserve">2606.04425</x:t>
        </x:is>
      </x:c>
      <x:c r="H33" s="13" t="inlineStr">
        <x:is>
          <x:t xml:space="preserve"/>
        </x:is>
      </x:c>
      <x:c r="I33" s="13" t="inlineStr">
        <x:is>
          <x:t xml:space="preserve"/>
        </x:is>
      </x:c>
      <x:c r="J33" s="13" t="inlineStr">
        <x:is>
          <x:t xml:space="preserve"/>
        </x:is>
      </x:c>
      <x:c r="K33" s="13" t="inlineStr">
        <x:is>
          <x:t xml:space="preserve"/>
        </x:is>
      </x:c>
      <x:c r="L33" s="14" t="inlineStr">
        <x:is>
          <x:t xml:space="preserve">Preprint</x:t>
        </x:is>
      </x:c>
      <x:c r="M33" s="18" t="inlineStr">
        <x:is>
          <x:t xml:space="preserve">Attack</x:t>
        </x:is>
      </x:c>
      <x:c r="N33" s="14" t="inlineStr">
        <x:is>
          <x:t xml:space="preserve">'What if prompt injection never left' — reinforces persistence thesis. Consider adding.</x:t>
        </x:is>
      </x:c>
      <x:c r="O33" s="15" t="inlineStr">
        <x:is>
          <x:t xml:space="preserve">No</x:t>
        </x:is>
      </x:c>
      <x:c r="P33" s="13" t="inlineStr">
        <x:is>
          <x:t xml:space="preserve">No</x:t>
        </x:is>
      </x:c>
    </x:row>
    <x:row r="34">
      <x:c r="A34" s="13" t="n">
        <x:v>30</x:v>
      </x:c>
      <x:c r="B34" s="14" t="inlineStr">
        <x:is>
          <x:t xml:space="preserve">ER-MIA — black-box adversarial memory injection</x:t>
        </x:is>
      </x:c>
      <x:c r="C34" s="14" t="inlineStr">
        <x:is>
          <x:t xml:space="preserve">Piehl</x:t>
        </x:is>
      </x:c>
      <x:c r="D34" s="13" t="inlineStr">
        <x:is>
          <x:t xml:space="preserve">2026</x:t>
        </x:is>
      </x:c>
      <x:c r="E34" s="15" t="inlineStr">
        <x:is>
          <x:t xml:space="preserve">Preprint</x:t>
        </x:is>
      </x:c>
      <x:c r="F34" s="14" t="inlineStr">
        <x:is>
          <x:t xml:space="preserve">arXiv</x:t>
        </x:is>
      </x:c>
      <x:c r="G34" s="14" t="inlineStr">
        <x:is>
          <x:t xml:space="preserve">2602.15344</x:t>
        </x:is>
      </x:c>
      <x:c r="H34" s="13" t="inlineStr">
        <x:is>
          <x:t xml:space="preserve"/>
        </x:is>
      </x:c>
      <x:c r="I34" s="13" t="inlineStr">
        <x:is>
          <x:t xml:space="preserve"/>
        </x:is>
      </x:c>
      <x:c r="J34" s="13" t="inlineStr">
        <x:is>
          <x:t xml:space="preserve"/>
        </x:is>
      </x:c>
      <x:c r="K34" s="13" t="inlineStr">
        <x:is>
          <x:t xml:space="preserve"/>
        </x:is>
      </x:c>
      <x:c r="L34" s="14" t="inlineStr">
        <x:is>
          <x:t xml:space="preserve">Preprint</x:t>
        </x:is>
      </x:c>
      <x:c r="M34" s="18" t="inlineStr">
        <x:is>
          <x:t xml:space="preserve">Attack</x:t>
        </x:is>
      </x:c>
      <x:c r="N34" s="14" t="inlineStr">
        <x:is>
          <x:t xml:space="preserve">NEW (both prior workbooks missed): black-box reasoning-degradation memory injection.</x:t>
        </x:is>
      </x:c>
      <x:c r="O34" s="15" t="inlineStr">
        <x:is>
          <x:t xml:space="preserve">No</x:t>
        </x:is>
      </x:c>
      <x:c r="P34" s="13" t="inlineStr">
        <x:is>
          <x:t xml:space="preserve">Yes</x:t>
        </x:is>
      </x:c>
    </x:row>
    <x:row r="35">
      <x:c r="A35" s="13" t="n">
        <x:v>31</x:v>
      </x:c>
      <x:c r="B35" s="14" t="inlineStr">
        <x:is>
          <x:t xml:space="preserve">MemPoison / Hijacking Agent Memory — stealthy trojan via dialogue</x:t>
        </x:is>
      </x:c>
      <x:c r="C35" s="14" t="inlineStr">
        <x:is>
          <x:t xml:space="preserve">Wang (Hongtao)</x:t>
        </x:is>
      </x:c>
      <x:c r="D35" s="13" t="inlineStr">
        <x:is>
          <x:t xml:space="preserve">2026</x:t>
        </x:is>
      </x:c>
      <x:c r="E35" s="15" t="inlineStr">
        <x:is>
          <x:t xml:space="preserve">Preprint</x:t>
        </x:is>
      </x:c>
      <x:c r="F35" s="14" t="inlineStr">
        <x:is>
          <x:t xml:space="preserve">arXiv</x:t>
        </x:is>
      </x:c>
      <x:c r="G35" s="14" t="inlineStr">
        <x:is>
          <x:t xml:space="preserve">2605.29960</x:t>
        </x:is>
      </x:c>
      <x:c r="H35" s="13" t="inlineStr">
        <x:is>
          <x:t xml:space="preserve"/>
        </x:is>
      </x:c>
      <x:c r="I35" s="13" t="inlineStr">
        <x:is>
          <x:t xml:space="preserve"/>
        </x:is>
      </x:c>
      <x:c r="J35" s="13" t="inlineStr">
        <x:is>
          <x:t xml:space="preserve"/>
        </x:is>
      </x:c>
      <x:c r="K35" s="13" t="inlineStr">
        <x:is>
          <x:t xml:space="preserve"/>
        </x:is>
      </x:c>
      <x:c r="L35" s="14" t="inlineStr">
        <x:is>
          <x:t xml:space="preserve">Preprint</x:t>
        </x:is>
      </x:c>
      <x:c r="M35" s="18" t="inlineStr">
        <x:is>
          <x:t xml:space="preserve">Attack</x:t>
        </x:is>
      </x:c>
      <x:c r="N35" s="14" t="inlineStr">
        <x:is>
          <x:t xml:space="preserve">NEW: backdoor bypassing selective-memory pipelines, ASR up to 0.95. (2nd AI listed this with wrong metadata.)</x:t>
        </x:is>
      </x:c>
      <x:c r="O35" s="15" t="inlineStr">
        <x:is>
          <x:t xml:space="preserve">No</x:t>
        </x:is>
      </x:c>
      <x:c r="P35" s="13" t="inlineStr">
        <x:is>
          <x:t xml:space="preserve">Yes</x:t>
        </x:is>
      </x:c>
    </x:row>
    <x:row r="36">
      <x:c r="A36" s="13" t="n">
        <x:v>32</x:v>
      </x:c>
      <x:c r="B36" s="14" t="inlineStr">
        <x:is>
          <x:t xml:space="preserve">ShadowMerge — poisoning graph-based memory via relation-channel conflicts</x:t>
        </x:is>
      </x:c>
      <x:c r="C36" s="14" t="inlineStr">
        <x:is>
          <x:t xml:space="preserve">(ShadowMerge)</x:t>
        </x:is>
      </x:c>
      <x:c r="D36" s="13" t="inlineStr">
        <x:is>
          <x:t xml:space="preserve">2026</x:t>
        </x:is>
      </x:c>
      <x:c r="E36" s="15" t="inlineStr">
        <x:is>
          <x:t xml:space="preserve">Preprint</x:t>
        </x:is>
      </x:c>
      <x:c r="F36" s="14" t="inlineStr">
        <x:is>
          <x:t xml:space="preserve">arXiv</x:t>
        </x:is>
      </x:c>
      <x:c r="G36" s="14" t="inlineStr">
        <x:is>
          <x:t xml:space="preserve">2605.09033</x:t>
        </x:is>
      </x:c>
      <x:c r="H36" s="13" t="inlineStr">
        <x:is>
          <x:t xml:space="preserve"/>
        </x:is>
      </x:c>
      <x:c r="I36" s="13" t="inlineStr">
        <x:is>
          <x:t xml:space="preserve"/>
        </x:is>
      </x:c>
      <x:c r="J36" s="13" t="inlineStr">
        <x:is>
          <x:t xml:space="preserve"/>
        </x:is>
      </x:c>
      <x:c r="K36" s="13" t="inlineStr">
        <x:is>
          <x:t xml:space="preserve"/>
        </x:is>
      </x:c>
      <x:c r="L36" s="14" t="inlineStr">
        <x:is>
          <x:t xml:space="preserve">Preprint</x:t>
        </x:is>
      </x:c>
      <x:c r="M36" s="18" t="inlineStr">
        <x:is>
          <x:t xml:space="preserve">Attack</x:t>
        </x:is>
      </x:c>
      <x:c r="N36" s="14" t="inlineStr">
        <x:is>
          <x:t xml:space="preserve">NEW: graph-memory relation-channel poisoning. Missed by both prior workbooks.</x:t>
        </x:is>
      </x:c>
      <x:c r="O36" s="15" t="inlineStr">
        <x:is>
          <x:t xml:space="preserve">No</x:t>
        </x:is>
      </x:c>
      <x:c r="P36" s="13" t="inlineStr">
        <x:is>
          <x:t xml:space="preserve">No</x:t>
        </x:is>
      </x:c>
    </x:row>
    <x:row r="37">
      <x:c r="A37" s="13" t="n">
        <x:v>33</x:v>
      </x:c>
      <x:c r="B37" s="14" t="inlineStr">
        <x:is>
          <x:t xml:space="preserve">MRMMIA — membership inference on chat-agent memory</x:t>
        </x:is>
      </x:c>
      <x:c r="C37" s="14" t="inlineStr">
        <x:is>
          <x:t xml:space="preserve">Chen (Kai)</x:t>
        </x:is>
      </x:c>
      <x:c r="D37" s="13" t="inlineStr">
        <x:is>
          <x:t xml:space="preserve">2026</x:t>
        </x:is>
      </x:c>
      <x:c r="E37" s="15" t="inlineStr">
        <x:is>
          <x:t xml:space="preserve">Preprint</x:t>
        </x:is>
      </x:c>
      <x:c r="F37" s="14" t="inlineStr">
        <x:is>
          <x:t xml:space="preserve">arXiv</x:t>
        </x:is>
      </x:c>
      <x:c r="G37" s="14" t="inlineStr">
        <x:is>
          <x:t xml:space="preserve">2605.27825</x:t>
        </x:is>
      </x:c>
      <x:c r="H37" s="13" t="inlineStr">
        <x:is>
          <x:t xml:space="preserve"/>
        </x:is>
      </x:c>
      <x:c r="I37" s="13" t="inlineStr">
        <x:is>
          <x:t xml:space="preserve"/>
        </x:is>
      </x:c>
      <x:c r="J37" s="13" t="inlineStr">
        <x:is>
          <x:t xml:space="preserve"/>
        </x:is>
      </x:c>
      <x:c r="K37" s="13" t="inlineStr">
        <x:is>
          <x:t xml:space="preserve"/>
        </x:is>
      </x:c>
      <x:c r="L37" s="14" t="inlineStr">
        <x:is>
          <x:t xml:space="preserve">Preprint</x:t>
        </x:is>
      </x:c>
      <x:c r="M37" s="18" t="inlineStr">
        <x:is>
          <x:t xml:space="preserve">Attack</x:t>
        </x:is>
      </x:c>
      <x:c r="N37" s="14" t="inlineStr">
        <x:is>
          <x:t xml:space="preserve">NEW: membership-leakage on agent memory. Confidentiality breadth.</x:t>
        </x:is>
      </x:c>
      <x:c r="O37" s="15" t="inlineStr">
        <x:is>
          <x:t xml:space="preserve">No</x:t>
        </x:is>
      </x:c>
      <x:c r="P37" s="13" t="inlineStr">
        <x:is>
          <x:t xml:space="preserve">No</x:t>
        </x:is>
      </x:c>
    </x:row>
    <x:row r="38">
      <x:c r="A38" s="13" t="n">
        <x:v>34</x:v>
      </x:c>
      <x:c r="B38" s="14" t="inlineStr">
        <x:is>
          <x:t xml:space="preserve">VerificAgent — human-verified memory freezing</x:t>
        </x:is>
      </x:c>
      <x:c r="C38" s="14" t="inlineStr">
        <x:is>
          <x:t xml:space="preserve">Nguyen</x:t>
        </x:is>
      </x:c>
      <x:c r="D38" s="13" t="inlineStr">
        <x:is>
          <x:t xml:space="preserve">2025</x:t>
        </x:is>
      </x:c>
      <x:c r="E38" s="15" t="inlineStr">
        <x:is>
          <x:t xml:space="preserve">Preprint</x:t>
        </x:is>
      </x:c>
      <x:c r="F38" s="14" t="inlineStr">
        <x:is>
          <x:t xml:space="preserve">arXiv</x:t>
        </x:is>
      </x:c>
      <x:c r="G38" s="14" t="inlineStr">
        <x:is>
          <x:t xml:space="preserve">2506.02539</x:t>
        </x:is>
      </x:c>
      <x:c r="H38" s="13" t="inlineStr">
        <x:is>
          <x:t xml:space="preserve"/>
        </x:is>
      </x:c>
      <x:c r="I38" s="13" t="inlineStr">
        <x:is>
          <x:t xml:space="preserve"/>
        </x:is>
      </x:c>
      <x:c r="J38" s="13" t="inlineStr">
        <x:is>
          <x:t xml:space="preserve"/>
        </x:is>
      </x:c>
      <x:c r="K38" s="13" t="inlineStr">
        <x:is>
          <x:t xml:space="preserve"/>
        </x:is>
      </x:c>
      <x:c r="L38" s="14" t="inlineStr">
        <x:is>
          <x:t xml:space="preserve">Preprint</x:t>
        </x:is>
      </x:c>
      <x:c r="M38" s="17" t="inlineStr">
        <x:is>
          <x:t xml:space="preserve">Defense</x:t>
        </x:is>
      </x:c>
      <x:c r="N38" s="14" t="inlineStr">
        <x:is>
          <x:t xml:space="preserve">Write-time human-verified freeze into safety contract. Core write-time defense.</x:t>
        </x:is>
      </x:c>
      <x:c r="O38" s="13" t="inlineStr">
        <x:is>
          <x:t xml:space="preserve">Yes</x:t>
        </x:is>
      </x:c>
      <x:c r="P38" s="13" t="inlineStr">
        <x:is>
          <x:t xml:space="preserve">Yes</x:t>
        </x:is>
      </x:c>
    </x:row>
    <x:row r="39">
      <x:c r="A39" s="13" t="n">
        <x:v>35</x:v>
      </x:c>
      <x:c r="B39" s="14" t="inlineStr">
        <x:is>
          <x:t xml:space="preserve">PROV-AGENT — unified provenance for agent interactions</x:t>
        </x:is>
      </x:c>
      <x:c r="C39" s="14" t="inlineStr">
        <x:is>
          <x:t xml:space="preserve">Souza</x:t>
        </x:is>
      </x:c>
      <x:c r="D39" s="13" t="inlineStr">
        <x:is>
          <x:t xml:space="preserve">2025</x:t>
        </x:is>
      </x:c>
      <x:c r="E39" s="17" t="str">
        <x:v>Peer-reviewed</x:v>
      </x:c>
      <x:c r="F39" s="14" t="str">
        <x:v>IEEE e-Science 2025</x:v>
      </x:c>
      <x:c r="G39" s="14" t="inlineStr">
        <x:is>
          <x:t xml:space="preserve">2508.02866</x:t>
        </x:is>
      </x:c>
      <x:c r="H39" s="13" t="inlineStr">
        <x:is>
          <x:t xml:space="preserve"/>
        </x:is>
      </x:c>
      <x:c r="I39" s="13" t="inlineStr">
        <x:is>
          <x:t xml:space="preserve"/>
        </x:is>
      </x:c>
      <x:c r="J39" s="13" t="inlineStr">
        <x:is>
          <x:t xml:space="preserve"/>
        </x:is>
      </x:c>
      <x:c r="K39" s="13" t="inlineStr">
        <x:is>
          <x:t xml:space="preserve"/>
        </x:is>
      </x:c>
      <x:c r="L39" s="14" t="str">
        <x:v>Peer-reviewed</x:v>
      </x:c>
      <x:c r="M39" s="19" t="inlineStr">
        <x:is>
          <x:t xml:space="preserve">Provenance/System</x:t>
        </x:is>
      </x:c>
      <x:c r="N39" s="14" t="inlineStr">
        <x:is>
          <x:t xml:space="preserve">Extends W3C PROV-DM to agent workflows. Central to your provenance chapter.</x:t>
        </x:is>
      </x:c>
      <x:c r="O39" s="13" t="inlineStr">
        <x:is>
          <x:t xml:space="preserve">Yes</x:t>
        </x:is>
      </x:c>
      <x:c r="P39" s="13" t="inlineStr">
        <x:is>
          <x:t xml:space="preserve">Yes</x:t>
        </x:is>
      </x:c>
    </x:row>
    <x:row r="40">
      <x:c r="A40" s="13" t="n">
        <x:v>36</x:v>
      </x:c>
      <x:c r="B40" s="14" t="inlineStr">
        <x:is>
          <x:t xml:space="preserve">MemOS — a memory OS for AI</x:t>
        </x:is>
      </x:c>
      <x:c r="C40" s="14" t="inlineStr">
        <x:is>
          <x:t xml:space="preserve">Li</x:t>
        </x:is>
      </x:c>
      <x:c r="D40" s="13" t="inlineStr">
        <x:is>
          <x:t xml:space="preserve">2025</x:t>
        </x:is>
      </x:c>
      <x:c r="E40" s="15" t="inlineStr">
        <x:is>
          <x:t xml:space="preserve">Preprint</x:t>
        </x:is>
      </x:c>
      <x:c r="F40" s="14" t="inlineStr">
        <x:is>
          <x:t xml:space="preserve">arXiv</x:t>
        </x:is>
      </x:c>
      <x:c r="G40" s="14" t="inlineStr">
        <x:is>
          <x:t xml:space="preserve">2507.03724</x:t>
        </x:is>
      </x:c>
      <x:c r="H40" s="13" t="inlineStr">
        <x:is>
          <x:t xml:space="preserve"/>
        </x:is>
      </x:c>
      <x:c r="I40" s="13" t="inlineStr">
        <x:is>
          <x:t xml:space="preserve"/>
        </x:is>
      </x:c>
      <x:c r="J40" s="13" t="inlineStr">
        <x:is>
          <x:t xml:space="preserve"/>
        </x:is>
      </x:c>
      <x:c r="K40" s="13" t="inlineStr">
        <x:is>
          <x:t xml:space="preserve"/>
        </x:is>
      </x:c>
      <x:c r="L40" s="14" t="inlineStr">
        <x:is>
          <x:t xml:space="preserve">Preprint</x:t>
        </x:is>
      </x:c>
      <x:c r="M40" s="19" t="inlineStr">
        <x:is>
          <x:t xml:space="preserve">Provenance/System</x:t>
        </x:is>
      </x:c>
      <x:c r="N40" s="14" t="inlineStr">
        <x:is>
          <x:t xml:space="preserve">MemCube units w/ source/version/sensitivity metadata; snapshot/rollback. Infra anchor.</x:t>
        </x:is>
      </x:c>
      <x:c r="O40" s="13" t="inlineStr">
        <x:is>
          <x:t xml:space="preserve">Yes</x:t>
        </x:is>
      </x:c>
      <x:c r="P40" s="13" t="inlineStr">
        <x:is>
          <x:t xml:space="preserve">Yes</x:t>
        </x:is>
      </x:c>
    </x:row>
    <x:row r="41">
      <x:c r="A41" s="13" t="n">
        <x:v>37</x:v>
      </x:c>
      <x:c r="B41" s="14" t="inlineStr">
        <x:is>
          <x:t xml:space="preserve">MemLineage — lineage-guided enforcement for agent memory</x:t>
        </x:is>
      </x:c>
      <x:c r="C41" s="14" t="inlineStr">
        <x:is>
          <x:t xml:space="preserve">Ouyang</x:t>
        </x:is>
      </x:c>
      <x:c r="D41" s="13" t="inlineStr">
        <x:is>
          <x:t xml:space="preserve">2026</x:t>
        </x:is>
      </x:c>
      <x:c r="E41" s="15" t="inlineStr">
        <x:is>
          <x:t xml:space="preserve">Preprint</x:t>
        </x:is>
      </x:c>
      <x:c r="F41" s="14" t="inlineStr">
        <x:is>
          <x:t xml:space="preserve">arXiv</x:t>
        </x:is>
      </x:c>
      <x:c r="G41" s="14" t="inlineStr">
        <x:is>
          <x:t xml:space="preserve">2605.14421</x:t>
        </x:is>
      </x:c>
      <x:c r="H41" s="13" t="inlineStr">
        <x:is>
          <x:t xml:space="preserve"/>
        </x:is>
      </x:c>
      <x:c r="I41" s="13" t="inlineStr">
        <x:is>
          <x:t xml:space="preserve"/>
        </x:is>
      </x:c>
      <x:c r="J41" s="13" t="inlineStr">
        <x:is>
          <x:t xml:space="preserve"/>
        </x:is>
      </x:c>
      <x:c r="K41" s="13" t="inlineStr">
        <x:is>
          <x:t xml:space="preserve"/>
        </x:is>
      </x:c>
      <x:c r="L41" s="14" t="inlineStr">
        <x:is>
          <x:t xml:space="preserve">Preprint</x:t>
        </x:is>
      </x:c>
      <x:c r="M41" s="17" t="inlineStr">
        <x:is>
          <x:t xml:space="preserve">Defense</x:t>
        </x:is>
      </x:c>
      <x:c r="N41" s="14" t="inlineStr">
        <x:is>
          <x:t xml:space="preserve">Cryptographic provenance + LLM-mediated derivation lineage. Supports semantic-lineage thesis.</x:t>
        </x:is>
      </x:c>
      <x:c r="O41" s="13" t="inlineStr">
        <x:is>
          <x:t xml:space="preserve">Yes</x:t>
        </x:is>
      </x:c>
      <x:c r="P41" s="13" t="inlineStr">
        <x:is>
          <x:t xml:space="preserve">Yes</x:t>
        </x:is>
      </x:c>
    </x:row>
    <x:row r="42">
      <x:c r="A42" s="13" t="n">
        <x:v>38</x:v>
      </x:c>
      <x:c r="B42" s="14" t="inlineStr">
        <x:is>
          <x:t xml:space="preserve">Origin-bound Authority (non-malleable) against poisoning</x:t>
        </x:is>
      </x:c>
      <x:c r="C42" s="14" t="inlineStr">
        <x:is>
          <x:t xml:space="preserve">Louck</x:t>
        </x:is>
      </x:c>
      <x:c r="D42" s="13" t="inlineStr">
        <x:is>
          <x:t xml:space="preserve">2026</x:t>
        </x:is>
      </x:c>
      <x:c r="E42" s="15" t="inlineStr">
        <x:is>
          <x:t xml:space="preserve">Preprint</x:t>
        </x:is>
      </x:c>
      <x:c r="F42" s="14" t="inlineStr">
        <x:is>
          <x:t xml:space="preserve">arXiv</x:t>
        </x:is>
      </x:c>
      <x:c r="G42" s="14" t="inlineStr">
        <x:is>
          <x:t xml:space="preserve">2606.24322</x:t>
        </x:is>
      </x:c>
      <x:c r="H42" s="13" t="inlineStr">
        <x:is>
          <x:t xml:space="preserve"/>
        </x:is>
      </x:c>
      <x:c r="I42" s="13" t="inlineStr">
        <x:is>
          <x:t xml:space="preserve"/>
        </x:is>
      </x:c>
      <x:c r="J42" s="13" t="inlineStr">
        <x:is>
          <x:t xml:space="preserve"/>
        </x:is>
      </x:c>
      <x:c r="K42" s="13" t="inlineStr">
        <x:is>
          <x:t xml:space="preserve"/>
        </x:is>
      </x:c>
      <x:c r="L42" s="14" t="inlineStr">
        <x:is>
          <x:t xml:space="preserve">Preprint</x:t>
        </x:is>
      </x:c>
      <x:c r="M42" s="17" t="inlineStr">
        <x:is>
          <x:t xml:space="preserve">Defense</x:t>
        </x:is>
      </x:c>
      <x:c r="N42" s="14" t="inlineStr">
        <x:is>
          <x:t xml:space="preserve">Origin-bound authority w/ machine-checked guarantees. Core authority-vs-provenance distinction.</x:t>
        </x:is>
      </x:c>
      <x:c r="O42" s="13" t="inlineStr">
        <x:is>
          <x:t xml:space="preserve">Yes</x:t>
        </x:is>
      </x:c>
      <x:c r="P42" s="13" t="inlineStr">
        <x:is>
          <x:t xml:space="preserve">Yes</x:t>
        </x:is>
      </x:c>
    </x:row>
    <x:row r="43">
      <x:c r="A43" s="13" t="n">
        <x:v>39</x:v>
      </x:c>
      <x:c r="B43" s="14" t="inlineStr">
        <x:is>
          <x:t xml:space="preserve">MemAudit — post-hoc auditing via causal attribution</x:t>
        </x:is>
      </x:c>
      <x:c r="C43" s="14" t="inlineStr">
        <x:is>
          <x:t xml:space="preserve">Tan</x:t>
        </x:is>
      </x:c>
      <x:c r="D43" s="13" t="inlineStr">
        <x:is>
          <x:t xml:space="preserve">2026</x:t>
        </x:is>
      </x:c>
      <x:c r="E43" s="15" t="inlineStr">
        <x:is>
          <x:t xml:space="preserve">Preprint</x:t>
        </x:is>
      </x:c>
      <x:c r="F43" s="14" t="inlineStr">
        <x:is>
          <x:t xml:space="preserve">arXiv</x:t>
        </x:is>
      </x:c>
      <x:c r="G43" s="14" t="inlineStr">
        <x:is>
          <x:t xml:space="preserve">2605.23723</x:t>
        </x:is>
      </x:c>
      <x:c r="H43" s="13" t="inlineStr">
        <x:is>
          <x:t xml:space="preserve"/>
        </x:is>
      </x:c>
      <x:c r="I43" s="13" t="inlineStr">
        <x:is>
          <x:t xml:space="preserve"/>
        </x:is>
      </x:c>
      <x:c r="J43" s="13" t="inlineStr">
        <x:is>
          <x:t xml:space="preserve"/>
        </x:is>
      </x:c>
      <x:c r="K43" s="13" t="inlineStr">
        <x:is>
          <x:t xml:space="preserve"/>
        </x:is>
      </x:c>
      <x:c r="L43" s="14" t="inlineStr">
        <x:is>
          <x:t xml:space="preserve">Preprint</x:t>
        </x:is>
      </x:c>
      <x:c r="M43" s="17" t="inlineStr">
        <x:is>
          <x:t xml:space="preserve">Defense</x:t>
        </x:is>
      </x:c>
      <x:c r="N43" s="14" t="inlineStr">
        <x:is>
          <x:t xml:space="preserve">Counterfactual memory-influence + memory-consistency graph. Your causal-reconstruction backbone.</x:t>
        </x:is>
      </x:c>
      <x:c r="O43" s="13" t="inlineStr">
        <x:is>
          <x:t xml:space="preserve">Yes</x:t>
        </x:is>
      </x:c>
      <x:c r="P43" s="13" t="inlineStr">
        <x:is>
          <x:t xml:space="preserve">Yes</x:t>
        </x:is>
      </x:c>
    </x:row>
    <x:row r="44">
      <x:c r="A44" s="13" t="n">
        <x:v>40</x:v>
      </x:c>
      <x:c r="B44" s="14" t="inlineStr">
        <x:is>
          <x:t xml:space="preserve">Forensic Trajectory Signatures — behavioural detection of poisoning</x:t>
        </x:is>
      </x:c>
      <x:c r="C44" s="14" t="inlineStr">
        <x:is>
          <x:t xml:space="preserve">Leong</x:t>
        </x:is>
      </x:c>
      <x:c r="D44" s="13" t="inlineStr">
        <x:is>
          <x:t xml:space="preserve">2026</x:t>
        </x:is>
      </x:c>
      <x:c r="E44" s="15" t="inlineStr">
        <x:is>
          <x:t xml:space="preserve">Preprint</x:t>
        </x:is>
      </x:c>
      <x:c r="F44" s="14" t="inlineStr">
        <x:is>
          <x:t xml:space="preserve">arXiv</x:t>
        </x:is>
      </x:c>
      <x:c r="G44" s="14" t="inlineStr">
        <x:is>
          <x:t xml:space="preserve">2606.30566</x:t>
        </x:is>
      </x:c>
      <x:c r="H44" s="13" t="inlineStr">
        <x:is>
          <x:t xml:space="preserve"/>
        </x:is>
      </x:c>
      <x:c r="I44" s="13" t="inlineStr">
        <x:is>
          <x:t xml:space="preserve"/>
        </x:is>
      </x:c>
      <x:c r="J44" s="13" t="inlineStr">
        <x:is>
          <x:t xml:space="preserve"/>
        </x:is>
      </x:c>
      <x:c r="K44" s="13" t="inlineStr">
        <x:is>
          <x:t xml:space="preserve"/>
        </x:is>
      </x:c>
      <x:c r="L44" s="14" t="inlineStr">
        <x:is>
          <x:t xml:space="preserve">Preprint</x:t>
        </x:is>
      </x:c>
      <x:c r="M44" s="17" t="inlineStr">
        <x:is>
          <x:t xml:space="preserve">Defense</x:t>
        </x:is>
      </x:c>
      <x:c r="N44" s="14" t="inlineStr">
        <x:is>
          <x:t xml:space="preserve">Detects poisoning from tool-call trajectory signatures alone (note: full title says 'observability limits').</x:t>
        </x:is>
      </x:c>
      <x:c r="O44" s="13" t="inlineStr">
        <x:is>
          <x:t xml:space="preserve">Yes</x:t>
        </x:is>
      </x:c>
      <x:c r="P44" s="13" t="inlineStr">
        <x:is>
          <x:t xml:space="preserve">Yes</x:t>
        </x:is>
      </x:c>
    </x:row>
    <x:row r="45">
      <x:c r="A45" s="13" t="n">
        <x:v>41</x:v>
      </x:c>
      <x:c r="B45" s="14" t="inlineStr">
        <x:is>
          <x:t xml:space="preserve">RobustRAG — certifiably robust RAG vs retrieval corruption</x:t>
        </x:is>
      </x:c>
      <x:c r="C45" s="14" t="inlineStr">
        <x:is>
          <x:t xml:space="preserve">Xiang</x:t>
        </x:is>
      </x:c>
      <x:c r="D45" s="13" t="str">
        <x:v>2026</x:v>
      </x:c>
      <x:c r="E45" s="17" t="str">
        <x:v>Preprint</x:v>
      </x:c>
      <x:c r="F45" s="14" t="str">
        <x:v>arXiv</x:v>
      </x:c>
      <x:c r="G45" s="14" t="inlineStr">
        <x:is>
          <x:t xml:space="preserve">2405.15556</x:t>
        </x:is>
      </x:c>
      <x:c r="H45" s="13" t="inlineStr">
        <x:is>
          <x:t xml:space="preserve"/>
        </x:is>
      </x:c>
      <x:c r="I45" s="13" t="inlineStr">
        <x:is>
          <x:t xml:space="preserve"/>
        </x:is>
      </x:c>
      <x:c r="J45" s="13" t="inlineStr">
        <x:is>
          <x:t xml:space="preserve"/>
        </x:is>
      </x:c>
      <x:c r="K45" s="13" t="inlineStr">
        <x:is>
          <x:t xml:space="preserve"/>
        </x:is>
      </x:c>
      <x:c r="L45" s="14" t="str">
        <x:v>Preprint / peer-reviewed venue to verify</x:v>
      </x:c>
      <x:c r="M45" s="17" t="inlineStr">
        <x:is>
          <x:t xml:space="preserve">Defense</x:t>
        </x:is>
      </x:c>
      <x:c r="N45" s="14" t="inlineStr">
        <x:is>
          <x:t xml:space="preserve">Isolate-then-aggregate certifiable robustness. Retrieve-time defense.</x:t>
        </x:is>
      </x:c>
      <x:c r="O45" s="13" t="inlineStr">
        <x:is>
          <x:t xml:space="preserve">Yes</x:t>
        </x:is>
      </x:c>
      <x:c r="P45" s="13" t="inlineStr">
        <x:is>
          <x:t xml:space="preserve">Yes</x:t>
        </x:is>
      </x:c>
    </x:row>
    <x:row r="46">
      <x:c r="A46" s="13" t="n">
        <x:v>42</x:v>
      </x:c>
      <x:c r="B46" s="14" t="inlineStr">
        <x:is>
          <x:t xml:space="preserve">A-MemGuard — proactive defense for agent memory</x:t>
        </x:is>
      </x:c>
      <x:c r="C46" s="14" t="inlineStr">
        <x:is>
          <x:t xml:space="preserve">Wei</x:t>
        </x:is>
      </x:c>
      <x:c r="D46" s="13" t="inlineStr">
        <x:is>
          <x:t xml:space="preserve">2025</x:t>
        </x:is>
      </x:c>
      <x:c r="E46" s="15" t="inlineStr">
        <x:is>
          <x:t xml:space="preserve">Preprint</x:t>
        </x:is>
      </x:c>
      <x:c r="F46" s="14" t="inlineStr">
        <x:is>
          <x:t xml:space="preserve">arXiv</x:t>
        </x:is>
      </x:c>
      <x:c r="G46" s="14" t="inlineStr">
        <x:is>
          <x:t xml:space="preserve">2510.02373</x:t>
        </x:is>
      </x:c>
      <x:c r="H46" s="13" t="inlineStr">
        <x:is>
          <x:t xml:space="preserve"/>
        </x:is>
      </x:c>
      <x:c r="I46" s="13" t="inlineStr">
        <x:is>
          <x:t xml:space="preserve"/>
        </x:is>
      </x:c>
      <x:c r="J46" s="13" t="inlineStr">
        <x:is>
          <x:t xml:space="preserve"/>
        </x:is>
      </x:c>
      <x:c r="K46" s="13" t="inlineStr">
        <x:is>
          <x:t xml:space="preserve"/>
        </x:is>
      </x:c>
      <x:c r="L46" s="14" t="inlineStr">
        <x:is>
          <x:t xml:space="preserve">Preprint</x:t>
        </x:is>
      </x:c>
      <x:c r="M46" s="17" t="inlineStr">
        <x:is>
          <x:t xml:space="preserve">Defense</x:t>
        </x:is>
      </x:c>
      <x:c r="N46" s="14" t="inlineStr">
        <x:is>
          <x:t xml:space="preserve">Memory-native consensus; lesson-memory hardening. Retrieve-time, memory-aware.</x:t>
        </x:is>
      </x:c>
      <x:c r="O46" s="13" t="inlineStr">
        <x:is>
          <x:t xml:space="preserve">Yes</x:t>
        </x:is>
      </x:c>
      <x:c r="P46" s="13" t="inlineStr">
        <x:is>
          <x:t xml:space="preserve">Yes</x:t>
        </x:is>
      </x:c>
    </x:row>
    <x:row r="47">
      <x:c r="A47" s="13" t="n">
        <x:v>43</x:v>
      </x:c>
      <x:c r="B47" s="14" t="inlineStr">
        <x:is>
          <x:t xml:space="preserve">TrustRAG — robust &amp; trustworthy RAG</x:t>
        </x:is>
      </x:c>
      <x:c r="C47" s="14" t="inlineStr">
        <x:is>
          <x:t xml:space="preserve">Zhou</x:t>
        </x:is>
      </x:c>
      <x:c r="D47" s="13" t="inlineStr">
        <x:is>
          <x:t xml:space="preserve">2025</x:t>
        </x:is>
      </x:c>
      <x:c r="E47" s="15" t="inlineStr">
        <x:is>
          <x:t xml:space="preserve">Preprint</x:t>
        </x:is>
      </x:c>
      <x:c r="F47" s="14" t="inlineStr">
        <x:is>
          <x:t xml:space="preserve">arXiv</x:t>
        </x:is>
      </x:c>
      <x:c r="G47" s="14" t="inlineStr">
        <x:is>
          <x:t xml:space="preserve">2501.00879</x:t>
        </x:is>
      </x:c>
      <x:c r="H47" s="13" t="inlineStr">
        <x:is>
          <x:t xml:space="preserve"/>
        </x:is>
      </x:c>
      <x:c r="I47" s="13" t="inlineStr">
        <x:is>
          <x:t xml:space="preserve"/>
        </x:is>
      </x:c>
      <x:c r="J47" s="13" t="inlineStr">
        <x:is>
          <x:t xml:space="preserve"/>
        </x:is>
      </x:c>
      <x:c r="K47" s="13" t="inlineStr">
        <x:is>
          <x:t xml:space="preserve"/>
        </x:is>
      </x:c>
      <x:c r="L47" s="14" t="inlineStr">
        <x:is>
          <x:t xml:space="preserve">Preprint</x:t>
        </x:is>
      </x:c>
      <x:c r="M47" s="17" t="inlineStr">
        <x:is>
          <x:t xml:space="preserve">Defense</x:t>
        </x:is>
      </x:c>
      <x:c r="N47" s="14" t="inlineStr">
        <x:is>
          <x:t xml:space="preserve">Clustering + trust scoring filter. Retrieve-time.</x:t>
        </x:is>
      </x:c>
      <x:c r="O47" s="13" t="inlineStr">
        <x:is>
          <x:t xml:space="preserve">Yes</x:t>
        </x:is>
      </x:c>
      <x:c r="P47" s="13" t="inlineStr">
        <x:is>
          <x:t xml:space="preserve">No</x:t>
        </x:is>
      </x:c>
    </x:row>
    <x:row r="48">
      <x:c r="A48" s="13" t="n">
        <x:v>44</x:v>
      </x:c>
      <x:c r="B48" s="14" t="inlineStr">
        <x:is>
          <x:t xml:space="preserve">SeCon-RAG — semantic filtering + conflict-free RAG</x:t>
        </x:is>
      </x:c>
      <x:c r="C48" s="14" t="inlineStr">
        <x:is>
          <x:t xml:space="preserve">Si</x:t>
        </x:is>
      </x:c>
      <x:c r="D48" s="13" t="inlineStr">
        <x:is>
          <x:t xml:space="preserve">2025</x:t>
        </x:is>
      </x:c>
      <x:c r="E48" s="17" t="str">
        <x:v>Peer-reviewed</x:v>
      </x:c>
      <x:c r="F48" s="14" t="str">
        <x:v>NeurIPS 2025</x:v>
      </x:c>
      <x:c r="G48" s="14" t="inlineStr">
        <x:is>
          <x:t xml:space="preserve">2510.09710</x:t>
        </x:is>
      </x:c>
      <x:c r="H48" s="13" t="inlineStr">
        <x:is>
          <x:t xml:space="preserve"/>
        </x:is>
      </x:c>
      <x:c r="I48" s="13" t="inlineStr">
        <x:is>
          <x:t xml:space="preserve"/>
        </x:is>
      </x:c>
      <x:c r="J48" s="13" t="inlineStr">
        <x:is>
          <x:t xml:space="preserve"/>
        </x:is>
      </x:c>
      <x:c r="K48" s="13" t="inlineStr">
        <x:is>
          <x:t xml:space="preserve"/>
        </x:is>
      </x:c>
      <x:c r="L48" s="14" t="str">
        <x:v>Peer-reviewed</x:v>
      </x:c>
      <x:c r="M48" s="17" t="inlineStr">
        <x:is>
          <x:t xml:space="preserve">Defense</x:t>
        </x:is>
      </x:c>
      <x:c r="N48" s="14" t="inlineStr">
        <x:is>
          <x:t xml:space="preserve">Two-stage semantic + contradiction filtering. Retrieve-time.</x:t>
        </x:is>
      </x:c>
      <x:c r="O48" s="13" t="inlineStr">
        <x:is>
          <x:t xml:space="preserve">Yes</x:t>
        </x:is>
      </x:c>
      <x:c r="P48" s="13" t="inlineStr">
        <x:is>
          <x:t xml:space="preserve">No</x:t>
        </x:is>
      </x:c>
    </x:row>
    <x:row r="49">
      <x:c r="A49" s="13" t="n">
        <x:v>45</x:v>
      </x:c>
      <x:c r="B49" s="14" t="inlineStr">
        <x:is>
          <x:t xml:space="preserve">RevPRAG — poisoning detection via activations</x:t>
        </x:is>
      </x:c>
      <x:c r="C49" s="14" t="inlineStr">
        <x:is>
          <x:t xml:space="preserve">Tan</x:t>
        </x:is>
      </x:c>
      <x:c r="D49" s="13" t="inlineStr">
        <x:is>
          <x:t xml:space="preserve">2025</x:t>
        </x:is>
      </x:c>
      <x:c r="E49" s="17" t="str">
        <x:v>Peer-reviewed</x:v>
      </x:c>
      <x:c r="F49" s="14" t="str">
        <x:v>Findings of EMNLP 2025</x:v>
      </x:c>
      <x:c r="G49" s="14" t="inlineStr">
        <x:is>
          <x:t xml:space="preserve">2411.18948</x:t>
        </x:is>
      </x:c>
      <x:c r="H49" s="13" t="inlineStr">
        <x:is>
          <x:t xml:space="preserve"/>
        </x:is>
      </x:c>
      <x:c r="I49" s="13" t="inlineStr">
        <x:is>
          <x:t xml:space="preserve"/>
        </x:is>
      </x:c>
      <x:c r="J49" s="13" t="inlineStr">
        <x:is>
          <x:t xml:space="preserve"/>
        </x:is>
      </x:c>
      <x:c r="K49" s="13" t="inlineStr">
        <x:is>
          <x:t xml:space="preserve"/>
        </x:is>
      </x:c>
      <x:c r="L49" s="14" t="str">
        <x:v>Peer-reviewed</x:v>
      </x:c>
      <x:c r="M49" s="17" t="inlineStr">
        <x:is>
          <x:t xml:space="preserve">Defense</x:t>
        </x:is>
      </x:c>
      <x:c r="N49" s="14" t="inlineStr">
        <x:is>
          <x:t xml:space="preserve">Activation-difference detection. Retrieve-time.</x:t>
        </x:is>
      </x:c>
      <x:c r="O49" s="13" t="inlineStr">
        <x:is>
          <x:t xml:space="preserve">Yes</x:t>
        </x:is>
      </x:c>
      <x:c r="P49" s="13" t="inlineStr">
        <x:is>
          <x:t xml:space="preserve">No</x:t>
        </x:is>
      </x:c>
    </x:row>
    <x:row r="50">
      <x:c r="A50" s="13" t="n">
        <x:v>46</x:v>
      </x:c>
      <x:c r="B50" s="14" t="inlineStr">
        <x:is>
          <x:t xml:space="preserve">CaMeL — defeating prompt injection by design</x:t>
        </x:is>
      </x:c>
      <x:c r="C50" s="14" t="inlineStr">
        <x:is>
          <x:t xml:space="preserve">Debenedetti</x:t>
        </x:is>
      </x:c>
      <x:c r="D50" s="13" t="inlineStr">
        <x:is>
          <x:t xml:space="preserve">2025</x:t>
        </x:is>
      </x:c>
      <x:c r="E50" s="15" t="inlineStr">
        <x:is>
          <x:t xml:space="preserve">Preprint</x:t>
        </x:is>
      </x:c>
      <x:c r="F50" s="14" t="inlineStr">
        <x:is>
          <x:t xml:space="preserve">arXiv</x:t>
        </x:is>
      </x:c>
      <x:c r="G50" s="14" t="inlineStr">
        <x:is>
          <x:t xml:space="preserve">2503.18813</x:t>
        </x:is>
      </x:c>
      <x:c r="H50" s="13" t="inlineStr">
        <x:is>
          <x:t xml:space="preserve"/>
        </x:is>
      </x:c>
      <x:c r="I50" s="13" t="inlineStr">
        <x:is>
          <x:t xml:space="preserve"/>
        </x:is>
      </x:c>
      <x:c r="J50" s="13" t="inlineStr">
        <x:is>
          <x:t xml:space="preserve"/>
        </x:is>
      </x:c>
      <x:c r="K50" s="13" t="inlineStr">
        <x:is>
          <x:t xml:space="preserve"/>
        </x:is>
      </x:c>
      <x:c r="L50" s="14" t="inlineStr">
        <x:is>
          <x:t xml:space="preserve">Preprint</x:t>
        </x:is>
      </x:c>
      <x:c r="M50" s="17" t="inlineStr">
        <x:is>
          <x:t xml:space="preserve">Defense</x:t>
        </x:is>
      </x:c>
      <x:c r="N50" s="14" t="inlineStr">
        <x:is>
          <x:t xml:space="preserve">Control/data-plane separation, IFC. Execute-time; bridges prevention+forensics.</x:t>
        </x:is>
      </x:c>
      <x:c r="O50" s="13" t="inlineStr">
        <x:is>
          <x:t xml:space="preserve">Yes</x:t>
        </x:is>
      </x:c>
      <x:c r="P50" s="13" t="inlineStr">
        <x:is>
          <x:t xml:space="preserve">Yes</x:t>
        </x:is>
      </x:c>
    </x:row>
    <x:row r="51">
      <x:c r="A51" s="13" t="n">
        <x:v>47</x:v>
      </x:c>
      <x:c r="B51" s="14" t="inlineStr">
        <x:is>
          <x:t xml:space="preserve">FIDES — securing agents with information-flow control</x:t>
        </x:is>
      </x:c>
      <x:c r="C51" s="14" t="inlineStr">
        <x:is>
          <x:t xml:space="preserve">Costa</x:t>
        </x:is>
      </x:c>
      <x:c r="D51" s="13" t="inlineStr">
        <x:is>
          <x:t xml:space="preserve">2025</x:t>
        </x:is>
      </x:c>
      <x:c r="E51" s="15" t="inlineStr">
        <x:is>
          <x:t xml:space="preserve">Preprint</x:t>
        </x:is>
      </x:c>
      <x:c r="F51" s="14" t="inlineStr">
        <x:is>
          <x:t xml:space="preserve">arXiv</x:t>
        </x:is>
      </x:c>
      <x:c r="G51" s="14" t="inlineStr">
        <x:is>
          <x:t xml:space="preserve">2505.23643</x:t>
        </x:is>
      </x:c>
      <x:c r="H51" s="13" t="inlineStr">
        <x:is>
          <x:t xml:space="preserve"/>
        </x:is>
      </x:c>
      <x:c r="I51" s="13" t="inlineStr">
        <x:is>
          <x:t xml:space="preserve"/>
        </x:is>
      </x:c>
      <x:c r="J51" s="13" t="inlineStr">
        <x:is>
          <x:t xml:space="preserve"/>
        </x:is>
      </x:c>
      <x:c r="K51" s="13" t="inlineStr">
        <x:is>
          <x:t xml:space="preserve"/>
        </x:is>
      </x:c>
      <x:c r="L51" s="14" t="inlineStr">
        <x:is>
          <x:t xml:space="preserve">Preprint</x:t>
        </x:is>
      </x:c>
      <x:c r="M51" s="17" t="inlineStr">
        <x:is>
          <x:t xml:space="preserve">Defense</x:t>
        </x:is>
      </x:c>
      <x:c r="N51" s="14" t="inlineStr">
        <x:is>
          <x:t xml:space="preserve">Agent-level IFC + policy traces. Execute-time; forensic by-product.</x:t>
        </x:is>
      </x:c>
      <x:c r="O51" s="13" t="inlineStr">
        <x:is>
          <x:t xml:space="preserve">Yes</x:t>
        </x:is>
      </x:c>
      <x:c r="P51" s="13" t="inlineStr">
        <x:is>
          <x:t xml:space="preserve">Yes</x:t>
        </x:is>
      </x:c>
    </x:row>
    <x:row r="52">
      <x:c r="A52" s="13" t="n">
        <x:v>48</x:v>
      </x:c>
      <x:c r="B52" s="14" t="inlineStr">
        <x:is>
          <x:t xml:space="preserve">Progent — programmable privilege control</x:t>
        </x:is>
      </x:c>
      <x:c r="C52" s="14" t="inlineStr">
        <x:is>
          <x:t xml:space="preserve">Shi</x:t>
        </x:is>
      </x:c>
      <x:c r="D52" s="13" t="str">
        <x:v>2026</x:v>
      </x:c>
      <x:c r="E52" s="15" t="str">
        <x:v>Preprint</x:v>
      </x:c>
      <x:c r="F52" s="14" t="str">
        <x:v>arXiv</x:v>
      </x:c>
      <x:c r="G52" s="14" t="inlineStr">
        <x:is>
          <x:t xml:space="preserve">2504.11703</x:t>
        </x:is>
      </x:c>
      <x:c r="H52" s="13" t="inlineStr">
        <x:is>
          <x:t xml:space="preserve"/>
        </x:is>
      </x:c>
      <x:c r="I52" s="13" t="inlineStr">
        <x:is>
          <x:t xml:space="preserve"/>
        </x:is>
      </x:c>
      <x:c r="J52" s="13" t="inlineStr">
        <x:is>
          <x:t xml:space="preserve"/>
        </x:is>
      </x:c>
      <x:c r="K52" s="13" t="inlineStr">
        <x:is>
          <x:t xml:space="preserve"/>
        </x:is>
      </x:c>
      <x:c r="L52" s="14" t="str">
        <x:v>Preprint</x:v>
      </x:c>
      <x:c r="M52" s="17" t="inlineStr">
        <x:is>
          <x:t xml:space="preserve">Defense</x:t>
        </x:is>
      </x:c>
      <x:c r="N52" s="14" t="inlineStr">
        <x:is>
          <x:t xml:space="preserve">Fine-grained tool-privilege policies. Blast-radius reduction.</x:t>
        </x:is>
      </x:c>
      <x:c r="O52" s="13" t="inlineStr">
        <x:is>
          <x:t xml:space="preserve">Yes</x:t>
        </x:is>
      </x:c>
      <x:c r="P52" s="13" t="inlineStr">
        <x:is>
          <x:t xml:space="preserve">No</x:t>
        </x:is>
      </x:c>
    </x:row>
    <x:row r="53">
      <x:c r="A53" s="13" t="n">
        <x:v>49</x:v>
      </x:c>
      <x:c r="B53" s="14" t="inlineStr">
        <x:is>
          <x:t xml:space="preserve">IsolateGPT — execution isolation architecture</x:t>
        </x:is>
      </x:c>
      <x:c r="C53" s="14" t="inlineStr">
        <x:is>
          <x:t xml:space="preserve">Wu</x:t>
        </x:is>
      </x:c>
      <x:c r="D53" s="13" t="inlineStr">
        <x:is>
          <x:t xml:space="preserve">2025</x:t>
        </x:is>
      </x:c>
      <x:c r="E53" s="17" t="inlineStr">
        <x:is>
          <x:t xml:space="preserve">Peer-reviewed</x:t>
        </x:is>
      </x:c>
      <x:c r="F53" s="14" t="inlineStr">
        <x:is>
          <x:t xml:space="preserve">NDSS 2025</x:t>
        </x:is>
      </x:c>
      <x:c r="G53" s="14" t="inlineStr">
        <x:is>
          <x:t xml:space="preserve">2403.04960</x:t>
        </x:is>
      </x:c>
      <x:c r="H53" s="13" t="inlineStr">
        <x:is>
          <x:t xml:space="preserve"/>
        </x:is>
      </x:c>
      <x:c r="I53" s="13" t="inlineStr">
        <x:is>
          <x:t xml:space="preserve"/>
        </x:is>
      </x:c>
      <x:c r="J53" s="13" t="inlineStr">
        <x:is>
          <x:t xml:space="preserve"/>
        </x:is>
      </x:c>
      <x:c r="K53" s="13" t="inlineStr">
        <x:is>
          <x:t xml:space="preserve"/>
        </x:is>
      </x:c>
      <x:c r="L53" s="14" t="inlineStr">
        <x:is>
          <x:t xml:space="preserve">Peer-reviewed (verify)</x:t>
        </x:is>
      </x:c>
      <x:c r="M53" s="17" t="inlineStr">
        <x:is>
          <x:t xml:space="preserve">Defense</x:t>
        </x:is>
      </x:c>
      <x:c r="N53" s="14" t="inlineStr">
        <x:is>
          <x:t xml:space="preserve">Execution isolation for agent systems. Containment.</x:t>
        </x:is>
      </x:c>
      <x:c r="O53" s="13" t="inlineStr">
        <x:is>
          <x:t xml:space="preserve">Yes</x:t>
        </x:is>
      </x:c>
      <x:c r="P53" s="13" t="inlineStr">
        <x:is>
          <x:t xml:space="preserve">No</x:t>
        </x:is>
      </x:c>
    </x:row>
    <x:row r="54">
      <x:c r="A54" s="13" t="n">
        <x:v>50</x:v>
      </x:c>
      <x:c r="B54" s="14" t="inlineStr">
        <x:is>
          <x:t xml:space="preserve">Collaborative Memory — multi-user sharing w/ dynamic access control</x:t>
        </x:is>
      </x:c>
      <x:c r="C54" s="14" t="inlineStr">
        <x:is>
          <x:t xml:space="preserve">Rezazadeh</x:t>
        </x:is>
      </x:c>
      <x:c r="D54" s="13" t="inlineStr">
        <x:is>
          <x:t xml:space="preserve">2025</x:t>
        </x:is>
      </x:c>
      <x:c r="E54" s="15" t="inlineStr">
        <x:is>
          <x:t xml:space="preserve">Preprint</x:t>
        </x:is>
      </x:c>
      <x:c r="F54" s="14" t="inlineStr">
        <x:is>
          <x:t xml:space="preserve">arXiv</x:t>
        </x:is>
      </x:c>
      <x:c r="G54" s="14" t="inlineStr">
        <x:is>
          <x:t xml:space="preserve">2505.18279</x:t>
        </x:is>
      </x:c>
      <x:c r="H54" s="13" t="inlineStr">
        <x:is>
          <x:t xml:space="preserve"/>
        </x:is>
      </x:c>
      <x:c r="I54" s="13" t="inlineStr">
        <x:is>
          <x:t xml:space="preserve"/>
        </x:is>
      </x:c>
      <x:c r="J54" s="13" t="inlineStr">
        <x:is>
          <x:t xml:space="preserve"/>
        </x:is>
      </x:c>
      <x:c r="K54" s="13" t="inlineStr">
        <x:is>
          <x:t xml:space="preserve"/>
        </x:is>
      </x:c>
      <x:c r="L54" s="14" t="inlineStr">
        <x:is>
          <x:t xml:space="preserve">Preprint</x:t>
        </x:is>
      </x:c>
      <x:c r="M54" s="17" t="inlineStr">
        <x:is>
          <x:t xml:space="preserve">Defense</x:t>
        </x:is>
      </x:c>
      <x:c r="N54" s="14" t="inlineStr">
        <x:is>
          <x:t xml:space="preserve">Time-evolving principal-resource graph. Principal-scoped / share-time anchor.</x:t>
        </x:is>
      </x:c>
      <x:c r="O54" s="13" t="inlineStr">
        <x:is>
          <x:t xml:space="preserve">Yes</x:t>
        </x:is>
      </x:c>
      <x:c r="P54" s="13" t="inlineStr">
        <x:is>
          <x:t xml:space="preserve">Yes</x:t>
        </x:is>
      </x:c>
    </x:row>
    <x:row r="55">
      <x:c r="A55" s="13" t="n">
        <x:v>51</x:v>
      </x:c>
      <x:c r="B55" s="14" t="inlineStr">
        <x:is>
          <x:t xml:space="preserve">BlindGuard — safeguarding multi-agent systems, unknown attacks</x:t>
        </x:is>
      </x:c>
      <x:c r="C55" s="14" t="inlineStr">
        <x:is>
          <x:t xml:space="preserve">Miao</x:t>
        </x:is>
      </x:c>
      <x:c r="D55" s="13" t="str">
        <x:v>2026</x:v>
      </x:c>
      <x:c r="E55" s="15" t="str">
        <x:v>Preprint</x:v>
      </x:c>
      <x:c r="F55" s="14" t="str">
        <x:v>arXiv</x:v>
      </x:c>
      <x:c r="G55" s="14" t="inlineStr">
        <x:is>
          <x:t xml:space="preserve">2508.08127</x:t>
        </x:is>
      </x:c>
      <x:c r="H55" s="13" t="inlineStr">
        <x:is>
          <x:t xml:space="preserve"/>
        </x:is>
      </x:c>
      <x:c r="I55" s="13" t="inlineStr">
        <x:is>
          <x:t xml:space="preserve"/>
        </x:is>
      </x:c>
      <x:c r="J55" s="13" t="inlineStr">
        <x:is>
          <x:t xml:space="preserve"/>
        </x:is>
      </x:c>
      <x:c r="K55" s="13" t="inlineStr">
        <x:is>
          <x:t xml:space="preserve"/>
        </x:is>
      </x:c>
      <x:c r="L55" s="14" t="str">
        <x:v>Preprint</x:v>
      </x:c>
      <x:c r="M55" s="17" t="inlineStr">
        <x:is>
          <x:t xml:space="preserve">Defense</x:t>
        </x:is>
      </x:c>
      <x:c r="N55" s="14" t="inlineStr">
        <x:is>
          <x:t xml:space="preserve">Unsupervised graph-level contagion detection. Share-time.</x:t>
        </x:is>
      </x:c>
      <x:c r="O55" s="13" t="inlineStr">
        <x:is>
          <x:t xml:space="preserve">Yes</x:t>
        </x:is>
      </x:c>
      <x:c r="P55" s="13" t="inlineStr">
        <x:is>
          <x:t xml:space="preserve">No</x:t>
        </x:is>
      </x:c>
    </x:row>
    <x:row r="56">
      <x:c r="A56" s="13" t="n">
        <x:v>52</x:v>
      </x:c>
      <x:c r="B56" s="14" t="inlineStr">
        <x:is>
          <x:t xml:space="preserve">RAGForensics — traceback of poisoning to RAG</x:t>
        </x:is>
      </x:c>
      <x:c r="C56" s="14" t="inlineStr">
        <x:is>
          <x:t xml:space="preserve">Zhang</x:t>
        </x:is>
      </x:c>
      <x:c r="D56" s="13" t="inlineStr">
        <x:is>
          <x:t xml:space="preserve">2025</x:t>
        </x:is>
      </x:c>
      <x:c r="E56" s="17" t="str">
        <x:v>Peer-reviewed</x:v>
      </x:c>
      <x:c r="F56" s="14" t="str">
        <x:v>WWW 2025</x:v>
      </x:c>
      <x:c r="G56" s="14" t="inlineStr">
        <x:is>
          <x:t xml:space="preserve">2504.21668</x:t>
        </x:is>
      </x:c>
      <x:c r="H56" s="13" t="inlineStr">
        <x:is>
          <x:t xml:space="preserve"/>
        </x:is>
      </x:c>
      <x:c r="I56" s="13" t="inlineStr">
        <x:is>
          <x:t xml:space="preserve"/>
        </x:is>
      </x:c>
      <x:c r="J56" s="13" t="inlineStr">
        <x:is>
          <x:t xml:space="preserve"/>
        </x:is>
      </x:c>
      <x:c r="K56" s="13" t="inlineStr">
        <x:is>
          <x:t xml:space="preserve"/>
        </x:is>
      </x:c>
      <x:c r="L56" s="14" t="str">
        <x:v>Peer-reviewed</x:v>
      </x:c>
      <x:c r="M56" s="17" t="inlineStr">
        <x:is>
          <x:t xml:space="preserve">Defense</x:t>
        </x:is>
      </x:c>
      <x:c r="N56" s="14" t="inlineStr">
        <x:is>
          <x:t xml:space="preserve">Post-hoc traceback for static RAG. Rollback/traceback anchor (note: static-corpus).</x:t>
        </x:is>
      </x:c>
      <x:c r="O56" s="13" t="inlineStr">
        <x:is>
          <x:t xml:space="preserve">Yes</x:t>
        </x:is>
      </x:c>
      <x:c r="P56" s="13" t="inlineStr">
        <x:is>
          <x:t xml:space="preserve">Yes</x:t>
        </x:is>
      </x:c>
    </x:row>
    <x:row r="57">
      <x:c r="A57" s="13" t="n">
        <x:v>53</x:v>
      </x:c>
      <x:c r="B57" s="14" t="inlineStr">
        <x:is>
          <x:t xml:space="preserve">SuperLocalMemory — privacy-preserving multi-agent memory, Bayesian trust</x:t>
        </x:is>
      </x:c>
      <x:c r="C57" s="14" t="inlineStr">
        <x:is>
          <x:t xml:space="preserve">Bhardwaj</x:t>
        </x:is>
      </x:c>
      <x:c r="D57" s="13" t="inlineStr">
        <x:is>
          <x:t xml:space="preserve">2026</x:t>
        </x:is>
      </x:c>
      <x:c r="E57" s="15" t="inlineStr">
        <x:is>
          <x:t xml:space="preserve">Preprint</x:t>
        </x:is>
      </x:c>
      <x:c r="F57" s="14" t="inlineStr">
        <x:is>
          <x:t xml:space="preserve">arXiv</x:t>
        </x:is>
      </x:c>
      <x:c r="G57" s="14" t="inlineStr">
        <x:is>
          <x:t xml:space="preserve">2603.02240</x:t>
        </x:is>
      </x:c>
      <x:c r="H57" s="13" t="inlineStr">
        <x:is>
          <x:t xml:space="preserve"/>
        </x:is>
      </x:c>
      <x:c r="I57" s="13" t="inlineStr">
        <x:is>
          <x:t xml:space="preserve"/>
        </x:is>
      </x:c>
      <x:c r="J57" s="13" t="inlineStr">
        <x:is>
          <x:t xml:space="preserve"/>
        </x:is>
      </x:c>
      <x:c r="K57" s="13" t="inlineStr">
        <x:is>
          <x:t xml:space="preserve"/>
        </x:is>
      </x:c>
      <x:c r="L57" s="14" t="inlineStr">
        <x:is>
          <x:t xml:space="preserve">Preprint</x:t>
        </x:is>
      </x:c>
      <x:c r="M57" s="17" t="inlineStr">
        <x:is>
          <x:t xml:space="preserve">Defense</x:t>
        </x:is>
      </x:c>
      <x:c r="N57" s="14" t="inlineStr">
        <x:is>
          <x:t xml:space="preserve">NEW: Bayesian trust defense vs memory poisoning. Missed by both prior workbooks.</x:t>
        </x:is>
      </x:c>
      <x:c r="O57" s="15" t="inlineStr">
        <x:is>
          <x:t xml:space="preserve">No</x:t>
        </x:is>
      </x:c>
      <x:c r="P57" s="13" t="inlineStr">
        <x:is>
          <x:t xml:space="preserve">No</x:t>
        </x:is>
      </x:c>
    </x:row>
    <x:row r="58">
      <x:c r="A58" s="13" t="n">
        <x:v>54</x:v>
      </x:c>
      <x:c r="B58" s="14" t="inlineStr">
        <x:is>
          <x:t xml:space="preserve">MEMSAD — gradient-coupled anomaly detection for memory poisoning</x:t>
        </x:is>
      </x:c>
      <x:c r="C58" s="14" t="inlineStr">
        <x:is>
          <x:t xml:space="preserve">Gowda</x:t>
        </x:is>
      </x:c>
      <x:c r="D58" s="13" t="inlineStr">
        <x:is>
          <x:t xml:space="preserve">2026</x:t>
        </x:is>
      </x:c>
      <x:c r="E58" s="15" t="inlineStr">
        <x:is>
          <x:t xml:space="preserve">Preprint</x:t>
        </x:is>
      </x:c>
      <x:c r="F58" s="14" t="inlineStr">
        <x:is>
          <x:t xml:space="preserve">arXiv</x:t>
        </x:is>
      </x:c>
      <x:c r="G58" s="14" t="inlineStr">
        <x:is>
          <x:t xml:space="preserve">2605.03482</x:t>
        </x:is>
      </x:c>
      <x:c r="H58" s="13" t="inlineStr">
        <x:is>
          <x:t xml:space="preserve"/>
        </x:is>
      </x:c>
      <x:c r="I58" s="13" t="inlineStr">
        <x:is>
          <x:t xml:space="preserve"/>
        </x:is>
      </x:c>
      <x:c r="J58" s="13" t="inlineStr">
        <x:is>
          <x:t xml:space="preserve"/>
        </x:is>
      </x:c>
      <x:c r="K58" s="13" t="inlineStr">
        <x:is>
          <x:t xml:space="preserve"/>
        </x:is>
      </x:c>
      <x:c r="L58" s="14" t="inlineStr">
        <x:is>
          <x:t xml:space="preserve">Preprint</x:t>
        </x:is>
      </x:c>
      <x:c r="M58" s="17" t="inlineStr">
        <x:is>
          <x:t xml:space="preserve">Defense</x:t>
        </x:is>
      </x:c>
      <x:c r="N58" s="14" t="inlineStr">
        <x:is>
          <x:t xml:space="preserve">NEW: anomaly detection for RAG-agent memory poisoning. Defense-lens breadth.</x:t>
        </x:is>
      </x:c>
      <x:c r="O58" s="15" t="inlineStr">
        <x:is>
          <x:t xml:space="preserve">No</x:t>
        </x:is>
      </x:c>
      <x:c r="P58" s="13" t="inlineStr">
        <x:is>
          <x:t xml:space="preserve">No</x:t>
        </x:is>
      </x:c>
    </x:row>
    <x:row r="59">
      <x:c r="A59" s="13" t="n">
        <x:v>55</x:v>
      </x:c>
      <x:c r="B59" s="14" t="inlineStr">
        <x:is>
          <x:t xml:space="preserve">Agentic Unlearning — LLM agent meets machine unlearning</x:t>
        </x:is>
      </x:c>
      <x:c r="C59" s="14" t="inlineStr">
        <x:is>
          <x:t xml:space="preserve">Wang</x:t>
        </x:is>
      </x:c>
      <x:c r="D59" s="13" t="inlineStr">
        <x:is>
          <x:t xml:space="preserve">2026</x:t>
        </x:is>
      </x:c>
      <x:c r="E59" s="15" t="inlineStr">
        <x:is>
          <x:t xml:space="preserve">Preprint</x:t>
        </x:is>
      </x:c>
      <x:c r="F59" s="14" t="inlineStr">
        <x:is>
          <x:t xml:space="preserve">arXiv</x:t>
        </x:is>
      </x:c>
      <x:c r="G59" s="14" t="inlineStr">
        <x:is>
          <x:t xml:space="preserve">2602.17692</x:t>
        </x:is>
      </x:c>
      <x:c r="H59" s="13" t="inlineStr">
        <x:is>
          <x:t xml:space="preserve"/>
        </x:is>
      </x:c>
      <x:c r="I59" s="13" t="inlineStr">
        <x:is>
          <x:t xml:space="preserve"/>
        </x:is>
      </x:c>
      <x:c r="J59" s="13" t="inlineStr">
        <x:is>
          <x:t xml:space="preserve"/>
        </x:is>
      </x:c>
      <x:c r="K59" s="13" t="inlineStr">
        <x:is>
          <x:t xml:space="preserve"/>
        </x:is>
      </x:c>
      <x:c r="L59" s="14" t="inlineStr">
        <x:is>
          <x:t xml:space="preserve">Preprint</x:t>
        </x:is>
      </x:c>
      <x:c r="M59" s="17" t="inlineStr">
        <x:is>
          <x:t xml:space="preserve">Defense</x:t>
        </x:is>
      </x:c>
      <x:c r="N59" s="14" t="inlineStr">
        <x:is>
          <x:t xml:space="preserve">Recovery-assurance; agent-level unlearning. Forget/verified-forgetting.</x:t>
        </x:is>
      </x:c>
      <x:c r="O59" s="13" t="inlineStr">
        <x:is>
          <x:t xml:space="preserve">Yes</x:t>
        </x:is>
      </x:c>
      <x:c r="P59" s="13" t="inlineStr">
        <x:is>
          <x:t xml:space="preserve">Yes</x:t>
        </x:is>
      </x:c>
    </x:row>
    <x:row r="60">
      <x:c r="A60" s="13" t="n">
        <x:v>56</x:v>
      </x:c>
      <x:c r="B60" s="14" t="inlineStr">
        <x:is>
          <x:t xml:space="preserve">When Machine Unlearning Meets RAG</x:t>
        </x:is>
      </x:c>
      <x:c r="C60" s="14" t="inlineStr">
        <x:is>
          <x:t xml:space="preserve">Wang</x:t>
        </x:is>
      </x:c>
      <x:c r="D60" s="13" t="inlineStr">
        <x:is>
          <x:t xml:space="preserve">2024</x:t>
        </x:is>
      </x:c>
      <x:c r="E60" s="15" t="inlineStr">
        <x:is>
          <x:t xml:space="preserve">Preprint</x:t>
        </x:is>
      </x:c>
      <x:c r="F60" s="14" t="inlineStr">
        <x:is>
          <x:t xml:space="preserve">arXiv</x:t>
        </x:is>
      </x:c>
      <x:c r="G60" s="14" t="inlineStr">
        <x:is>
          <x:t xml:space="preserve">2410.15267</x:t>
        </x:is>
      </x:c>
      <x:c r="H60" s="13" t="inlineStr">
        <x:is>
          <x:t xml:space="preserve"/>
        </x:is>
      </x:c>
      <x:c r="I60" s="13" t="inlineStr">
        <x:is>
          <x:t xml:space="preserve"/>
        </x:is>
      </x:c>
      <x:c r="J60" s="13" t="inlineStr">
        <x:is>
          <x:t xml:space="preserve"/>
        </x:is>
      </x:c>
      <x:c r="K60" s="13" t="inlineStr">
        <x:is>
          <x:t xml:space="preserve"/>
        </x:is>
      </x:c>
      <x:c r="L60" s="14" t="inlineStr">
        <x:is>
          <x:t xml:space="preserve">Preprint</x:t>
        </x:is>
      </x:c>
      <x:c r="M60" s="17" t="inlineStr">
        <x:is>
          <x:t xml:space="preserve">Defense</x:t>
        </x:is>
      </x:c>
      <x:c r="N60" s="14" t="inlineStr">
        <x:is>
          <x:t xml:space="preserve">RAG-unlearning; reappearance after deletion. Forget-phase residue.</x:t>
        </x:is>
      </x:c>
      <x:c r="O60" s="13" t="inlineStr">
        <x:is>
          <x:t xml:space="preserve">Yes</x:t>
        </x:is>
      </x:c>
      <x:c r="P60" s="13" t="inlineStr">
        <x:is>
          <x:t xml:space="preserve">Yes</x:t>
        </x:is>
      </x:c>
    </x:row>
    <x:row r="61">
      <x:c r="A61" s="13" t="n">
        <x:v>57</x:v>
      </x:c>
      <x:c r="B61" s="14" t="inlineStr">
        <x:is>
          <x:t xml:space="preserve">LongMemEval — long-term interactive memory benchmark</x:t>
        </x:is>
      </x:c>
      <x:c r="C61" s="14" t="inlineStr">
        <x:is>
          <x:t xml:space="preserve">Wu</x:t>
        </x:is>
      </x:c>
      <x:c r="D61" s="13" t="inlineStr">
        <x:is>
          <x:t xml:space="preserve">2025</x:t>
        </x:is>
      </x:c>
      <x:c r="E61" s="17" t="inlineStr">
        <x:is>
          <x:t xml:space="preserve">Peer-reviewed</x:t>
        </x:is>
      </x:c>
      <x:c r="F61" s="14" t="inlineStr">
        <x:is>
          <x:t xml:space="preserve">ICLR 2025</x:t>
        </x:is>
      </x:c>
      <x:c r="G61" s="14" t="inlineStr">
        <x:is>
          <x:t xml:space="preserve">2410.10813</x:t>
        </x:is>
      </x:c>
      <x:c r="H61" s="13" t="inlineStr">
        <x:is>
          <x:t xml:space="preserve"/>
        </x:is>
      </x:c>
      <x:c r="I61" s="13" t="inlineStr">
        <x:is>
          <x:t xml:space="preserve"/>
        </x:is>
      </x:c>
      <x:c r="J61" s="13" t="inlineStr">
        <x:is>
          <x:t xml:space="preserve"/>
        </x:is>
      </x:c>
      <x:c r="K61" s="13" t="inlineStr">
        <x:is>
          <x:t xml:space="preserve"/>
        </x:is>
      </x:c>
      <x:c r="L61" s="14" t="inlineStr">
        <x:is>
          <x:t xml:space="preserve">Peer-reviewed (verify)</x:t>
        </x:is>
      </x:c>
      <x:c r="M61" s="20" t="inlineStr">
        <x:is>
          <x:t xml:space="preserve">Benchmark</x:t>
        </x:is>
      </x:c>
      <x:c r="N61" s="14" t="inlineStr">
        <x:is>
          <x:t xml:space="preserve">Extraction/multi-session/temporal (benign). You propose forensic extensions.</x:t>
        </x:is>
      </x:c>
      <x:c r="O61" s="13" t="inlineStr">
        <x:is>
          <x:t xml:space="preserve">Yes</x:t>
        </x:is>
      </x:c>
      <x:c r="P61" s="13" t="inlineStr">
        <x:is>
          <x:t xml:space="preserve">Yes</x:t>
        </x:is>
      </x:c>
    </x:row>
    <x:row r="62">
      <x:c r="A62" s="13" t="n">
        <x:v>58</x:v>
      </x:c>
      <x:c r="B62" s="14" t="inlineStr">
        <x:is>
          <x:t xml:space="preserve">MemBench — comprehensive memory evaluation</x:t>
        </x:is>
      </x:c>
      <x:c r="C62" s="14" t="inlineStr">
        <x:is>
          <x:t xml:space="preserve">Tan</x:t>
        </x:is>
      </x:c>
      <x:c r="D62" s="13" t="inlineStr">
        <x:is>
          <x:t xml:space="preserve">2025</x:t>
        </x:is>
      </x:c>
      <x:c r="E62" s="17" t="inlineStr">
        <x:is>
          <x:t xml:space="preserve">Peer-reviewed</x:t>
        </x:is>
      </x:c>
      <x:c r="F62" s="14" t="inlineStr">
        <x:is>
          <x:t xml:space="preserve">ACL Findings 2025</x:t>
        </x:is>
      </x:c>
      <x:c r="G62" s="14" t="inlineStr">
        <x:is>
          <x:t xml:space="preserve">2506.21605</x:t>
        </x:is>
      </x:c>
      <x:c r="H62" s="13" t="inlineStr">
        <x:is>
          <x:t xml:space="preserve"/>
        </x:is>
      </x:c>
      <x:c r="I62" s="13" t="inlineStr">
        <x:is>
          <x:t xml:space="preserve"/>
        </x:is>
      </x:c>
      <x:c r="J62" s="13" t="inlineStr">
        <x:is>
          <x:t xml:space="preserve"/>
        </x:is>
      </x:c>
      <x:c r="K62" s="13" t="inlineStr">
        <x:is>
          <x:t xml:space="preserve"/>
        </x:is>
      </x:c>
      <x:c r="L62" s="14" t="inlineStr">
        <x:is>
          <x:t xml:space="preserve">Peer-reviewed (verify)</x:t>
        </x:is>
      </x:c>
      <x:c r="M62" s="20" t="inlineStr">
        <x:is>
          <x:t xml:space="preserve">Benchmark</x:t>
        </x:is>
      </x:c>
      <x:c r="N62" s="14" t="inlineStr">
        <x:is>
          <x:t xml:space="preserve">Factual+reflective memory eval. Benchmark substrate.</x:t>
        </x:is>
      </x:c>
      <x:c r="O62" s="13" t="inlineStr">
        <x:is>
          <x:t xml:space="preserve">Yes</x:t>
        </x:is>
      </x:c>
      <x:c r="P62" s="13" t="inlineStr">
        <x:is>
          <x:t xml:space="preserve">Yes</x:t>
        </x:is>
      </x:c>
    </x:row>
    <x:row r="63">
      <x:c r="A63" s="13" t="n">
        <x:v>59</x:v>
      </x:c>
      <x:c r="B63" s="14" t="inlineStr">
        <x:is>
          <x:t xml:space="preserve">Mem2ActBench — LTM utilisation in tool tasks</x:t>
        </x:is>
      </x:c>
      <x:c r="C63" s="14" t="inlineStr">
        <x:is>
          <x:t xml:space="preserve">Shen</x:t>
        </x:is>
      </x:c>
      <x:c r="D63" s="13" t="inlineStr">
        <x:is>
          <x:t xml:space="preserve">2026</x:t>
        </x:is>
      </x:c>
      <x:c r="E63" s="17" t="inlineStr">
        <x:is>
          <x:t xml:space="preserve">Peer-reviewed</x:t>
        </x:is>
      </x:c>
      <x:c r="F63" s="14" t="inlineStr">
        <x:is>
          <x:t xml:space="preserve">ACL 2026</x:t>
        </x:is>
      </x:c>
      <x:c r="G63" s="14" t="inlineStr">
        <x:is>
          <x:t xml:space="preserve">2601.19935</x:t>
        </x:is>
      </x:c>
      <x:c r="H63" s="13" t="inlineStr">
        <x:is>
          <x:t xml:space="preserve"/>
        </x:is>
      </x:c>
      <x:c r="I63" s="13" t="inlineStr">
        <x:is>
          <x:t xml:space="preserve"/>
        </x:is>
      </x:c>
      <x:c r="J63" s="13" t="inlineStr">
        <x:is>
          <x:t xml:space="preserve"/>
        </x:is>
      </x:c>
      <x:c r="K63" s="13" t="inlineStr">
        <x:is>
          <x:t xml:space="preserve"/>
        </x:is>
      </x:c>
      <x:c r="L63" s="14" t="inlineStr">
        <x:is>
          <x:t xml:space="preserve">Peer-reviewed (verify)</x:t>
        </x:is>
      </x:c>
      <x:c r="M63" s="20" t="inlineStr">
        <x:is>
          <x:t xml:space="preserve">Benchmark</x:t>
        </x:is>
      </x:c>
      <x:c r="N63" s="14" t="inlineStr">
        <x:is>
          <x:t xml:space="preserve">Whether agents actively apply LTM in tool tasks. Memory-to-action substrate.</x:t>
        </x:is>
      </x:c>
      <x:c r="O63" s="13" t="inlineStr">
        <x:is>
          <x:t xml:space="preserve">Yes</x:t>
        </x:is>
      </x:c>
      <x:c r="P63" s="13" t="inlineStr">
        <x:is>
          <x:t xml:space="preserve">No</x:t>
        </x:is>
      </x:c>
    </x:row>
    <x:row r="64">
      <x:c r="A64" s="13" t="n">
        <x:v>60</x:v>
      </x:c>
      <x:c r="B64" s="14" t="inlineStr">
        <x:is>
          <x:t xml:space="preserve">GateMem — memory governance in multi-principal shared memory</x:t>
        </x:is>
      </x:c>
      <x:c r="C64" s="14" t="inlineStr">
        <x:is>
          <x:t xml:space="preserve">Ren</x:t>
        </x:is>
      </x:c>
      <x:c r="D64" s="13" t="inlineStr">
        <x:is>
          <x:t xml:space="preserve">2026</x:t>
        </x:is>
      </x:c>
      <x:c r="E64" s="15" t="inlineStr">
        <x:is>
          <x:t xml:space="preserve">Preprint</x:t>
        </x:is>
      </x:c>
      <x:c r="F64" s="14" t="inlineStr">
        <x:is>
          <x:t xml:space="preserve">arXiv</x:t>
        </x:is>
      </x:c>
      <x:c r="G64" s="14" t="inlineStr">
        <x:is>
          <x:t xml:space="preserve">2606.18829</x:t>
        </x:is>
      </x:c>
      <x:c r="H64" s="13" t="inlineStr">
        <x:is>
          <x:t xml:space="preserve"/>
        </x:is>
      </x:c>
      <x:c r="I64" s="13" t="inlineStr">
        <x:is>
          <x:t xml:space="preserve"/>
        </x:is>
      </x:c>
      <x:c r="J64" s="13" t="inlineStr">
        <x:is>
          <x:t xml:space="preserve"/>
        </x:is>
      </x:c>
      <x:c r="K64" s="13" t="inlineStr">
        <x:is>
          <x:t xml:space="preserve"/>
        </x:is>
      </x:c>
      <x:c r="L64" s="14" t="inlineStr">
        <x:is>
          <x:t xml:space="preserve">Preprint</x:t>
        </x:is>
      </x:c>
      <x:c r="M64" s="20" t="inlineStr">
        <x:is>
          <x:t xml:space="preserve">Benchmark</x:t>
        </x:is>
      </x:c>
      <x:c r="N64" s="14" t="inlineStr">
        <x:is>
          <x:t xml:space="preserve">No method jointly achieves utility+access-control+forgetting. Strong gap evidence.</x:t>
        </x:is>
      </x:c>
      <x:c r="O64" s="13" t="inlineStr">
        <x:is>
          <x:t xml:space="preserve">Yes</x:t>
        </x:is>
      </x:c>
      <x:c r="P64" s="13" t="inlineStr">
        <x:is>
          <x:t xml:space="preserve">Yes</x:t>
        </x:is>
      </x:c>
    </x:row>
    <x:row r="65">
      <x:c r="A65" s="13" t="n">
        <x:v>61</x:v>
      </x:c>
      <x:c r="B65" s="14" t="inlineStr">
        <x:is>
          <x:t xml:space="preserve">CIMemories — contextual integrity of persistent memory</x:t>
        </x:is>
      </x:c>
      <x:c r="C65" s="14" t="inlineStr">
        <x:is>
          <x:t xml:space="preserve">Mireshghallah</x:t>
        </x:is>
      </x:c>
      <x:c r="D65" s="13" t="inlineStr">
        <x:is>
          <x:t xml:space="preserve">2026</x:t>
        </x:is>
      </x:c>
      <x:c r="E65" s="17" t="str">
        <x:v>Preprint</x:v>
      </x:c>
      <x:c r="F65" s="14" t="str">
        <x:v>arXiv</x:v>
      </x:c>
      <x:c r="G65" s="14" t="inlineStr">
        <x:is>
          <x:t xml:space="preserve">2511.14937</x:t>
        </x:is>
      </x:c>
      <x:c r="H65" s="13" t="inlineStr">
        <x:is>
          <x:t xml:space="preserve"/>
        </x:is>
      </x:c>
      <x:c r="I65" s="13" t="inlineStr">
        <x:is>
          <x:t xml:space="preserve"/>
        </x:is>
      </x:c>
      <x:c r="J65" s="13" t="inlineStr">
        <x:is>
          <x:t xml:space="preserve"/>
        </x:is>
      </x:c>
      <x:c r="K65" s="13" t="inlineStr">
        <x:is>
          <x:t xml:space="preserve"/>
        </x:is>
      </x:c>
      <x:c r="L65" s="14" t="str">
        <x:v>Preprint</x:v>
      </x:c>
      <x:c r="M65" s="20" t="inlineStr">
        <x:is>
          <x:t xml:space="preserve">Benchmark</x:t>
        </x:is>
      </x:c>
      <x:c r="N65" s="14" t="inlineStr">
        <x:is>
          <x:t xml:space="preserve">Compositional contextual-integrity benchmark. Confidentiality eval.</x:t>
        </x:is>
      </x:c>
      <x:c r="O65" s="13" t="inlineStr">
        <x:is>
          <x:t xml:space="preserve">Yes</x:t>
        </x:is>
      </x:c>
      <x:c r="P65" s="13" t="inlineStr">
        <x:is>
          <x:t xml:space="preserve">Yes</x:t>
        </x:is>
      </x:c>
    </x:row>
    <x:row r="66">
      <x:c r="A66" s="13" t="n">
        <x:v>62</x:v>
      </x:c>
      <x:c r="B66" s="14" t="inlineStr">
        <x:is>
          <x:t xml:space="preserve">PersistBench — when should LTM be forgotten</x:t>
        </x:is>
      </x:c>
      <x:c r="C66" s="14" t="inlineStr">
        <x:is>
          <x:t xml:space="preserve">Pulipaka</x:t>
        </x:is>
      </x:c>
      <x:c r="D66" s="13" t="inlineStr">
        <x:is>
          <x:t xml:space="preserve">2026</x:t>
        </x:is>
      </x:c>
      <x:c r="E66" s="15" t="str">
        <x:v>Peer-reviewed</x:v>
      </x:c>
      <x:c r="F66" s="14" t="str">
        <x:v>ICML 2026 / PMLR 306</x:v>
      </x:c>
      <x:c r="G66" s="14" t="inlineStr">
        <x:is>
          <x:t xml:space="preserve">2602.01146</x:t>
        </x:is>
      </x:c>
      <x:c r="H66" s="13" t="inlineStr">
        <x:is>
          <x:t xml:space="preserve"/>
        </x:is>
      </x:c>
      <x:c r="I66" s="13" t="inlineStr">
        <x:is>
          <x:t xml:space="preserve"/>
        </x:is>
      </x:c>
      <x:c r="J66" s="13" t="inlineStr">
        <x:is>
          <x:t xml:space="preserve"/>
        </x:is>
      </x:c>
      <x:c r="K66" s="13" t="inlineStr">
        <x:is>
          <x:t xml:space="preserve"/>
        </x:is>
      </x:c>
      <x:c r="L66" s="14" t="str">
        <x:v>Peer-reviewed (verify official PMLR record)</x:v>
      </x:c>
      <x:c r="M66" s="20" t="inlineStr">
        <x:is>
          <x:t xml:space="preserve">Benchmark</x:t>
        </x:is>
      </x:c>
      <x:c r="N66" s="14" t="inlineStr">
        <x:is>
          <x:t xml:space="preserve">Forget-time benchmark. Directly supports recovery/forget gap.</x:t>
        </x:is>
      </x:c>
      <x:c r="O66" s="13" t="inlineStr">
        <x:is>
          <x:t xml:space="preserve">Yes</x:t>
        </x:is>
      </x:c>
      <x:c r="P66" s="13" t="inlineStr">
        <x:is>
          <x:t xml:space="preserve">Yes</x:t>
        </x:is>
      </x:c>
    </x:row>
    <x:row r="67">
      <x:c r="A67" s="13" t="n">
        <x:v>63</x:v>
      </x:c>
      <x:c r="B67" s="14" t="inlineStr">
        <x:is>
          <x:t xml:space="preserve">AgentDojo — dynamic env for prompt-injection</x:t>
        </x:is>
      </x:c>
      <x:c r="C67" s="14" t="inlineStr">
        <x:is>
          <x:t xml:space="preserve">Debenedetti</x:t>
        </x:is>
      </x:c>
      <x:c r="D67" s="13" t="inlineStr">
        <x:is>
          <x:t xml:space="preserve">2024</x:t>
        </x:is>
      </x:c>
      <x:c r="E67" s="17" t="inlineStr">
        <x:is>
          <x:t xml:space="preserve">Peer-reviewed</x:t>
        </x:is>
      </x:c>
      <x:c r="F67" s="14" t="inlineStr">
        <x:is>
          <x:t xml:space="preserve">NeurIPS D&amp;B 2024</x:t>
        </x:is>
      </x:c>
      <x:c r="G67" s="14" t="inlineStr">
        <x:is>
          <x:t xml:space="preserve">2406.13352</x:t>
        </x:is>
      </x:c>
      <x:c r="H67" s="13" t="inlineStr">
        <x:is>
          <x:t xml:space="preserve"/>
        </x:is>
      </x:c>
      <x:c r="I67" s="13" t="inlineStr">
        <x:is>
          <x:t xml:space="preserve"/>
        </x:is>
      </x:c>
      <x:c r="J67" s="13" t="inlineStr">
        <x:is>
          <x:t xml:space="preserve"/>
        </x:is>
      </x:c>
      <x:c r="K67" s="13" t="inlineStr">
        <x:is>
          <x:t xml:space="preserve"/>
        </x:is>
      </x:c>
      <x:c r="L67" s="14" t="inlineStr">
        <x:is>
          <x:t xml:space="preserve">Peer-reviewed (verify)</x:t>
        </x:is>
      </x:c>
      <x:c r="M67" s="20" t="inlineStr">
        <x:is>
          <x:t xml:space="preserve">Benchmark</x:t>
        </x:is>
      </x:c>
      <x:c r="N67" s="14" t="inlineStr">
        <x:is>
          <x:t xml:space="preserve">Tool-agent injection benchmark (single-session). Contrast w/ cross-session.</x:t>
        </x:is>
      </x:c>
      <x:c r="O67" s="13" t="inlineStr">
        <x:is>
          <x:t xml:space="preserve">Yes</x:t>
        </x:is>
      </x:c>
      <x:c r="P67" s="13" t="inlineStr">
        <x:is>
          <x:t xml:space="preserve">Yes</x:t>
        </x:is>
      </x:c>
    </x:row>
    <x:row r="68">
      <x:c r="A68" s="13" t="n">
        <x:v>64</x:v>
      </x:c>
      <x:c r="B68" s="14" t="inlineStr">
        <x:is>
          <x:t xml:space="preserve">InjecAgent — indirect PI in tool-integrated agents</x:t>
        </x:is>
      </x:c>
      <x:c r="C68" s="14" t="inlineStr">
        <x:is>
          <x:t xml:space="preserve">Zhan</x:t>
        </x:is>
      </x:c>
      <x:c r="D68" s="13" t="inlineStr">
        <x:is>
          <x:t xml:space="preserve">2024</x:t>
        </x:is>
      </x:c>
      <x:c r="E68" s="17" t="inlineStr">
        <x:is>
          <x:t xml:space="preserve">Peer-reviewed</x:t>
        </x:is>
      </x:c>
      <x:c r="F68" s="14" t="inlineStr">
        <x:is>
          <x:t xml:space="preserve">ACL Findings 2024</x:t>
        </x:is>
      </x:c>
      <x:c r="G68" s="14" t="inlineStr">
        <x:is>
          <x:t xml:space="preserve">2403.02691</x:t>
        </x:is>
      </x:c>
      <x:c r="H68" s="13" t="inlineStr">
        <x:is>
          <x:t xml:space="preserve"/>
        </x:is>
      </x:c>
      <x:c r="I68" s="13" t="inlineStr">
        <x:is>
          <x:t xml:space="preserve"/>
        </x:is>
      </x:c>
      <x:c r="J68" s="13" t="inlineStr">
        <x:is>
          <x:t xml:space="preserve"/>
        </x:is>
      </x:c>
      <x:c r="K68" s="13" t="inlineStr">
        <x:is>
          <x:t xml:space="preserve"/>
        </x:is>
      </x:c>
      <x:c r="L68" s="14" t="inlineStr">
        <x:is>
          <x:t xml:space="preserve">Peer-reviewed (verify)</x:t>
        </x:is>
      </x:c>
      <x:c r="M68" s="20" t="inlineStr">
        <x:is>
          <x:t xml:space="preserve">Benchmark</x:t>
        </x:is>
      </x:c>
      <x:c r="N68" s="14" t="inlineStr">
        <x:is>
          <x:t xml:space="preserve">Indirect-PI benchmark. Single-session baseline you extend past.</x:t>
        </x:is>
      </x:c>
      <x:c r="O68" s="13" t="inlineStr">
        <x:is>
          <x:t xml:space="preserve">Yes</x:t>
        </x:is>
      </x:c>
      <x:c r="P68" s="13" t="inlineStr">
        <x:is>
          <x:t xml:space="preserve">Yes</x:t>
        </x:is>
      </x:c>
    </x:row>
    <x:row r="69">
      <x:c r="A69" s="13" t="n">
        <x:v>65</x:v>
      </x:c>
      <x:c r="B69" s="14" t="inlineStr">
        <x:is>
          <x:t xml:space="preserve">Agent Security Bench (ASB)</x:t>
        </x:is>
      </x:c>
      <x:c r="C69" s="14" t="inlineStr">
        <x:is>
          <x:t xml:space="preserve">Zhang</x:t>
        </x:is>
      </x:c>
      <x:c r="D69" s="13" t="inlineStr">
        <x:is>
          <x:t xml:space="preserve">2025</x:t>
        </x:is>
      </x:c>
      <x:c r="E69" s="17" t="inlineStr">
        <x:is>
          <x:t xml:space="preserve">Peer-reviewed</x:t>
        </x:is>
      </x:c>
      <x:c r="F69" s="14" t="inlineStr">
        <x:is>
          <x:t xml:space="preserve">ICLR 2025</x:t>
        </x:is>
      </x:c>
      <x:c r="G69" s="14" t="inlineStr">
        <x:is>
          <x:t xml:space="preserve">2410.02644</x:t>
        </x:is>
      </x:c>
      <x:c r="H69" s="13" t="inlineStr">
        <x:is>
          <x:t xml:space="preserve"/>
        </x:is>
      </x:c>
      <x:c r="I69" s="13" t="inlineStr">
        <x:is>
          <x:t xml:space="preserve"/>
        </x:is>
      </x:c>
      <x:c r="J69" s="13" t="inlineStr">
        <x:is>
          <x:t xml:space="preserve"/>
        </x:is>
      </x:c>
      <x:c r="K69" s="13" t="inlineStr">
        <x:is>
          <x:t xml:space="preserve"/>
        </x:is>
      </x:c>
      <x:c r="L69" s="14" t="inlineStr">
        <x:is>
          <x:t xml:space="preserve">Peer-reviewed (verify)</x:t>
        </x:is>
      </x:c>
      <x:c r="M69" s="20" t="inlineStr">
        <x:is>
          <x:t xml:space="preserve">Benchmark</x:t>
        </x:is>
      </x:c>
      <x:c r="N69" s="14" t="inlineStr">
        <x:is>
          <x:t xml:space="preserve">Formalizes attacks/defenses incl. memory-stage. Coverage.</x:t>
        </x:is>
      </x:c>
      <x:c r="O69" s="13" t="inlineStr">
        <x:is>
          <x:t xml:space="preserve">Yes</x:t>
        </x:is>
      </x:c>
      <x:c r="P69" s="13" t="inlineStr">
        <x:is>
          <x:t xml:space="preserve">Yes</x:t>
        </x:is>
      </x:c>
    </x:row>
    <x:row r="70">
      <x:c r="A70" s="13" t="n">
        <x:v>66</x:v>
      </x:c>
      <x:c r="B70" s="14" t="inlineStr">
        <x:is>
          <x:t xml:space="preserve">MemSyco-Bench — sycophancy in agent memory</x:t>
        </x:is>
      </x:c>
      <x:c r="C70" s="14" t="inlineStr">
        <x:is>
          <x:t xml:space="preserve">(MemSyco)</x:t>
        </x:is>
      </x:c>
      <x:c r="D70" s="13" t="inlineStr">
        <x:is>
          <x:t xml:space="preserve">2026</x:t>
        </x:is>
      </x:c>
      <x:c r="E70" s="15" t="inlineStr">
        <x:is>
          <x:t xml:space="preserve">Preprint</x:t>
        </x:is>
      </x:c>
      <x:c r="F70" s="14" t="inlineStr">
        <x:is>
          <x:t xml:space="preserve">arXiv</x:t>
        </x:is>
      </x:c>
      <x:c r="G70" s="14" t="inlineStr">
        <x:is>
          <x:t xml:space="preserve">2607.01071</x:t>
        </x:is>
      </x:c>
      <x:c r="H70" s="13" t="inlineStr">
        <x:is>
          <x:t xml:space="preserve"/>
        </x:is>
      </x:c>
      <x:c r="I70" s="13" t="inlineStr">
        <x:is>
          <x:t xml:space="preserve"/>
        </x:is>
      </x:c>
      <x:c r="J70" s="13" t="inlineStr">
        <x:is>
          <x:t xml:space="preserve"/>
        </x:is>
      </x:c>
      <x:c r="K70" s="13" t="inlineStr">
        <x:is>
          <x:t xml:space="preserve"/>
        </x:is>
      </x:c>
      <x:c r="L70" s="14" t="inlineStr">
        <x:is>
          <x:t xml:space="preserve">Preprint</x:t>
        </x:is>
      </x:c>
      <x:c r="M70" s="20" t="inlineStr">
        <x:is>
          <x:t xml:space="preserve">Benchmark</x:t>
        </x:is>
      </x:c>
      <x:c r="N70" s="14" t="inlineStr">
        <x:is>
          <x:t xml:space="preserve">NEW (Jul 2026, POST-cutoff): benign memory-integrity benchmark. Note date if cited.</x:t>
        </x:is>
      </x:c>
      <x:c r="O70" s="15" t="inlineStr">
        <x:is>
          <x:t xml:space="preserve">No</x:t>
        </x:is>
      </x:c>
      <x:c r="P70" s="13" t="inlineStr">
        <x:is>
          <x:t xml:space="preserve">No</x:t>
        </x:is>
      </x:c>
    </x:row>
    <x:row r="71">
      <x:c r="A71" s="13" t="n">
        <x:v>67</x:v>
      </x:c>
      <x:c r="B71" s="14" t="inlineStr">
        <x:is>
          <x:t xml:space="preserve">AgentLAB — benchmarking agents vs long-horizon attacks</x:t>
        </x:is>
      </x:c>
      <x:c r="C71" s="14" t="inlineStr">
        <x:is>
          <x:t xml:space="preserve">Jiang</x:t>
        </x:is>
      </x:c>
      <x:c r="D71" s="13" t="inlineStr">
        <x:is>
          <x:t xml:space="preserve">2026</x:t>
        </x:is>
      </x:c>
      <x:c r="E71" s="15" t="inlineStr">
        <x:is>
          <x:t xml:space="preserve">Preprint</x:t>
        </x:is>
      </x:c>
      <x:c r="F71" s="14" t="inlineStr">
        <x:is>
          <x:t xml:space="preserve">arXiv</x:t>
        </x:is>
      </x:c>
      <x:c r="G71" s="14" t="inlineStr">
        <x:is>
          <x:t xml:space="preserve">2602.16901</x:t>
        </x:is>
      </x:c>
      <x:c r="H71" s="13" t="inlineStr">
        <x:is>
          <x:t xml:space="preserve"/>
        </x:is>
      </x:c>
      <x:c r="I71" s="13" t="inlineStr">
        <x:is>
          <x:t xml:space="preserve"/>
        </x:is>
      </x:c>
      <x:c r="J71" s="13" t="inlineStr">
        <x:is>
          <x:t xml:space="preserve"/>
        </x:is>
      </x:c>
      <x:c r="K71" s="13" t="inlineStr">
        <x:is>
          <x:t xml:space="preserve"/>
        </x:is>
      </x:c>
      <x:c r="L71" s="14" t="inlineStr">
        <x:is>
          <x:t xml:space="preserve">Preprint</x:t>
        </x:is>
      </x:c>
      <x:c r="M71" s="20" t="inlineStr">
        <x:is>
          <x:t xml:space="preserve">Benchmark</x:t>
        </x:is>
      </x:c>
      <x:c r="N71" s="14" t="inlineStr">
        <x:is>
          <x:t xml:space="preserve">NEW: 644 test cases / 28 environments incl. memory poisoning. Coverage.</x:t>
        </x:is>
      </x:c>
      <x:c r="O71" s="15" t="inlineStr">
        <x:is>
          <x:t xml:space="preserve">No</x:t>
        </x:is>
      </x:c>
      <x:c r="P71" s="13" t="inlineStr">
        <x:is>
          <x:t xml:space="preserve">No</x:t>
        </x:is>
      </x:c>
    </x:row>
    <x:row r="72">
      <x:c r="A72" s="13" t="n">
        <x:v>68</x:v>
      </x:c>
      <x:c r="B72" s="14" t="inlineStr">
        <x:is>
          <x:t xml:space="preserve">Machine Unlearning</x:t>
        </x:is>
      </x:c>
      <x:c r="C72" s="14" t="inlineStr">
        <x:is>
          <x:t xml:space="preserve">Bourtoule</x:t>
        </x:is>
      </x:c>
      <x:c r="D72" s="13" t="inlineStr">
        <x:is>
          <x:t xml:space="preserve">2021</x:t>
        </x:is>
      </x:c>
      <x:c r="E72" s="17" t="inlineStr">
        <x:is>
          <x:t xml:space="preserve">Peer-reviewed</x:t>
        </x:is>
      </x:c>
      <x:c r="F72" s="14" t="inlineStr">
        <x:is>
          <x:t xml:space="preserve">IEEE S&amp;P 2021</x:t>
        </x:is>
      </x:c>
      <x:c r="G72" s="14" t="inlineStr">
        <x:is>
          <x:t xml:space="preserve">—</x:t>
        </x:is>
      </x:c>
      <x:c r="H72" s="13" t="inlineStr">
        <x:is>
          <x:t xml:space="preserve"/>
        </x:is>
      </x:c>
      <x:c r="I72" s="13" t="inlineStr">
        <x:is>
          <x:t xml:space="preserve"/>
        </x:is>
      </x:c>
      <x:c r="J72" s="13" t="inlineStr">
        <x:is>
          <x:t xml:space="preserve"/>
        </x:is>
      </x:c>
      <x:c r="K72" s="13" t="inlineStr">
        <x:is>
          <x:t xml:space="preserve"/>
        </x:is>
      </x:c>
      <x:c r="L72" s="14" t="inlineStr">
        <x:is>
          <x:t xml:space="preserve">Peer-reviewed (verify)</x:t>
        </x:is>
      </x:c>
      <x:c r="M72" s="21" t="inlineStr">
        <x:is>
          <x:t xml:space="preserve">Foundation</x:t>
        </x:is>
      </x:c>
      <x:c r="N72" s="14" t="inlineStr">
        <x:is>
          <x:t xml:space="preserve">Removing influence != deleting record. Backbone of recovery/VF argument.</x:t>
        </x:is>
      </x:c>
      <x:c r="O72" s="13" t="inlineStr">
        <x:is>
          <x:t xml:space="preserve">Yes</x:t>
        </x:is>
      </x:c>
      <x:c r="P72" s="13" t="inlineStr">
        <x:is>
          <x:t xml:space="preserve">Yes</x:t>
        </x:is>
      </x:c>
    </x:row>
    <x:row r="73">
      <x:c r="A73" s="13" t="n">
        <x:v>69</x:v>
      </x:c>
      <x:c r="B73" s="14" t="inlineStr">
        <x:is>
          <x:t xml:space="preserve">TOFU — task of fictitious unlearning</x:t>
        </x:is>
      </x:c>
      <x:c r="C73" s="14" t="inlineStr">
        <x:is>
          <x:t xml:space="preserve">Maini</x:t>
        </x:is>
      </x:c>
      <x:c r="D73" s="13" t="inlineStr">
        <x:is>
          <x:t xml:space="preserve">2024</x:t>
        </x:is>
      </x:c>
      <x:c r="E73" s="17" t="inlineStr">
        <x:is>
          <x:t xml:space="preserve">Peer-reviewed</x:t>
        </x:is>
      </x:c>
      <x:c r="F73" s="14" t="inlineStr">
        <x:is>
          <x:t xml:space="preserve">COLM 2024</x:t>
        </x:is>
      </x:c>
      <x:c r="G73" s="14" t="inlineStr">
        <x:is>
          <x:t xml:space="preserve">2401.06121</x:t>
        </x:is>
      </x:c>
      <x:c r="H73" s="13" t="inlineStr">
        <x:is>
          <x:t xml:space="preserve"/>
        </x:is>
      </x:c>
      <x:c r="I73" s="13" t="inlineStr">
        <x:is>
          <x:t xml:space="preserve"/>
        </x:is>
      </x:c>
      <x:c r="J73" s="13" t="inlineStr">
        <x:is>
          <x:t xml:space="preserve"/>
        </x:is>
      </x:c>
      <x:c r="K73" s="13" t="inlineStr">
        <x:is>
          <x:t xml:space="preserve"/>
        </x:is>
      </x:c>
      <x:c r="L73" s="14" t="inlineStr">
        <x:is>
          <x:t xml:space="preserve">Peer-reviewed (verify)</x:t>
        </x:is>
      </x:c>
      <x:c r="M73" s="21" t="inlineStr">
        <x:is>
          <x:t xml:space="preserve">Foundation</x:t>
        </x:is>
      </x:c>
      <x:c r="N73" s="14" t="inlineStr">
        <x:is>
          <x:t xml:space="preserve">Unlearning eval w/ membership tests. Verified-forgetting metric basis.</x:t>
        </x:is>
      </x:c>
      <x:c r="O73" s="13" t="inlineStr">
        <x:is>
          <x:t xml:space="preserve">Yes</x:t>
        </x:is>
      </x:c>
      <x:c r="P73" s="13" t="inlineStr">
        <x:is>
          <x:t xml:space="preserve">Yes</x:t>
        </x:is>
      </x:c>
    </x:row>
    <x:row r="74">
      <x:c r="A74" s="13" t="n">
        <x:v>70</x:v>
      </x:c>
      <x:c r="B74" s="14" t="inlineStr">
        <x:is>
          <x:t xml:space="preserve">W3C PROV-DM</x:t>
        </x:is>
      </x:c>
      <x:c r="C74" s="14" t="inlineStr">
        <x:is>
          <x:t xml:space="preserve">Moreau</x:t>
        </x:is>
      </x:c>
      <x:c r="D74" s="13" t="inlineStr">
        <x:is>
          <x:t xml:space="preserve">2013</x:t>
        </x:is>
      </x:c>
      <x:c r="E74" s="20" t="inlineStr">
        <x:is>
          <x:t xml:space="preserve">Standard/Reg</x:t>
        </x:is>
      </x:c>
      <x:c r="F74" s="14" t="inlineStr">
        <x:is>
          <x:t xml:space="preserve">W3C Recommendation</x:t>
        </x:is>
      </x:c>
      <x:c r="G74" s="14" t="inlineStr">
        <x:is>
          <x:t xml:space="preserve">—</x:t>
        </x:is>
      </x:c>
      <x:c r="H74" s="13" t="inlineStr">
        <x:is>
          <x:t xml:space="preserve"/>
        </x:is>
      </x:c>
      <x:c r="I74" s="13" t="inlineStr">
        <x:is>
          <x:t xml:space="preserve"/>
        </x:is>
      </x:c>
      <x:c r="J74" s="13" t="inlineStr">
        <x:is>
          <x:t xml:space="preserve"/>
        </x:is>
      </x:c>
      <x:c r="K74" s="13" t="inlineStr">
        <x:is>
          <x:t xml:space="preserve"/>
        </x:is>
      </x:c>
      <x:c r="L74" s="14" t="inlineStr">
        <x:is>
          <x:t xml:space="preserve">Standard/Reg</x:t>
        </x:is>
      </x:c>
      <x:c r="M74" s="21" t="inlineStr">
        <x:is>
          <x:t xml:space="preserve">Foundation</x:t>
        </x:is>
      </x:c>
      <x:c r="N74" s="14" t="inlineStr">
        <x:is>
          <x:t xml:space="preserve">Provenance vocabulary you map memory records onto. Core standard.</x:t>
        </x:is>
      </x:c>
      <x:c r="O74" s="13" t="inlineStr">
        <x:is>
          <x:t xml:space="preserve">Yes</x:t>
        </x:is>
      </x:c>
      <x:c r="P74" s="13" t="inlineStr">
        <x:is>
          <x:t xml:space="preserve">Yes</x:t>
        </x:is>
      </x:c>
    </x:row>
    <x:row r="75">
      <x:c r="A75" s="13" t="n">
        <x:v>71</x:v>
      </x:c>
      <x:c r="B75" s="14" t="inlineStr">
        <x:is>
          <x:t xml:space="preserve">Guide to Integrating Forensic Techniques into IR (SP 800-86)</x:t>
        </x:is>
      </x:c>
      <x:c r="C75" s="14" t="inlineStr">
        <x:is>
          <x:t xml:space="preserve">Kent</x:t>
        </x:is>
      </x:c>
      <x:c r="D75" s="13" t="inlineStr">
        <x:is>
          <x:t xml:space="preserve">2006</x:t>
        </x:is>
      </x:c>
      <x:c r="E75" s="20" t="inlineStr">
        <x:is>
          <x:t xml:space="preserve">Standard/Reg</x:t>
        </x:is>
      </x:c>
      <x:c r="F75" s="14" t="inlineStr">
        <x:is>
          <x:t xml:space="preserve">NIST SP 800-86</x:t>
        </x:is>
      </x:c>
      <x:c r="G75" s="14" t="inlineStr">
        <x:is>
          <x:t xml:space="preserve">—</x:t>
        </x:is>
      </x:c>
      <x:c r="H75" s="13" t="inlineStr">
        <x:is>
          <x:t xml:space="preserve"/>
        </x:is>
      </x:c>
      <x:c r="I75" s="13" t="inlineStr">
        <x:is>
          <x:t xml:space="preserve"/>
        </x:is>
      </x:c>
      <x:c r="J75" s="13" t="inlineStr">
        <x:is>
          <x:t xml:space="preserve"/>
        </x:is>
      </x:c>
      <x:c r="K75" s="13" t="inlineStr">
        <x:is>
          <x:t xml:space="preserve"/>
        </x:is>
      </x:c>
      <x:c r="L75" s="14" t="inlineStr">
        <x:is>
          <x:t xml:space="preserve">Standard/Reg</x:t>
        </x:is>
      </x:c>
      <x:c r="M75" s="21" t="inlineStr">
        <x:is>
          <x:t xml:space="preserve">Foundation</x:t>
        </x:is>
      </x:c>
      <x:c r="N75" s="14" t="inlineStr">
        <x:is>
          <x:t xml:space="preserve">Forensic-process foundation for your workflow.</x:t>
        </x:is>
      </x:c>
      <x:c r="O75" s="13" t="inlineStr">
        <x:is>
          <x:t xml:space="preserve">Yes</x:t>
        </x:is>
      </x:c>
      <x:c r="P75" s="13" t="inlineStr">
        <x:is>
          <x:t xml:space="preserve">Yes</x:t>
        </x:is>
      </x:c>
    </x:row>
    <x:row r="76">
      <x:c r="A76" s="13" t="n">
        <x:v>72</x:v>
      </x:c>
      <x:c r="B76" s="14" t="inlineStr">
        <x:is>
          <x:t xml:space="preserve">ISO/IEC 27043:2015 — Incident Investigation</x:t>
        </x:is>
      </x:c>
      <x:c r="C76" s="14" t="inlineStr">
        <x:is>
          <x:t xml:space="preserve">ISO/IEC</x:t>
        </x:is>
      </x:c>
      <x:c r="D76" s="13" t="inlineStr">
        <x:is>
          <x:t xml:space="preserve">2015</x:t>
        </x:is>
      </x:c>
      <x:c r="E76" s="20" t="inlineStr">
        <x:is>
          <x:t xml:space="preserve">Standard/Reg</x:t>
        </x:is>
      </x:c>
      <x:c r="F76" s="14" t="inlineStr">
        <x:is>
          <x:t xml:space="preserve">ISO/IEC 27043</x:t>
        </x:is>
      </x:c>
      <x:c r="G76" s="14" t="inlineStr">
        <x:is>
          <x:t xml:space="preserve">—</x:t>
        </x:is>
      </x:c>
      <x:c r="H76" s="13" t="inlineStr">
        <x:is>
          <x:t xml:space="preserve"/>
        </x:is>
      </x:c>
      <x:c r="I76" s="13" t="inlineStr">
        <x:is>
          <x:t xml:space="preserve"/>
        </x:is>
      </x:c>
      <x:c r="J76" s="13" t="inlineStr">
        <x:is>
          <x:t xml:space="preserve"/>
        </x:is>
      </x:c>
      <x:c r="K76" s="13" t="inlineStr">
        <x:is>
          <x:t xml:space="preserve"/>
        </x:is>
      </x:c>
      <x:c r="L76" s="14" t="inlineStr">
        <x:is>
          <x:t xml:space="preserve">Standard/Reg</x:t>
        </x:is>
      </x:c>
      <x:c r="M76" s="21" t="inlineStr">
        <x:is>
          <x:t xml:space="preserve">Foundation</x:t>
        </x:is>
      </x:c>
      <x:c r="N76" s="14" t="inlineStr">
        <x:is>
          <x:t xml:space="preserve">Investigation-process foundation.</x:t>
        </x:is>
      </x:c>
      <x:c r="O76" s="13" t="inlineStr">
        <x:is>
          <x:t xml:space="preserve">Yes</x:t>
        </x:is>
      </x:c>
      <x:c r="P76" s="13" t="inlineStr">
        <x:is>
          <x:t xml:space="preserve">Yes</x:t>
        </x:is>
      </x:c>
    </x:row>
    <x:row r="77">
      <x:c r="A77" s="13" t="n">
        <x:v>73</x:v>
      </x:c>
      <x:c r="B77" s="14" t="inlineStr">
        <x:is>
          <x:t xml:space="preserve">EU AI Act Art.12 (record-keeping)</x:t>
        </x:is>
      </x:c>
      <x:c r="C77" s="14" t="inlineStr">
        <x:is>
          <x:t xml:space="preserve">EU Parl. &amp; Council</x:t>
        </x:is>
      </x:c>
      <x:c r="D77" s="13" t="inlineStr">
        <x:is>
          <x:t xml:space="preserve">2024</x:t>
        </x:is>
      </x:c>
      <x:c r="E77" s="20" t="inlineStr">
        <x:is>
          <x:t xml:space="preserve">Standard/Reg</x:t>
        </x:is>
      </x:c>
      <x:c r="F77" s="14" t="inlineStr">
        <x:is>
          <x:t xml:space="preserve">Reg (EU) 2024/1689</x:t>
        </x:is>
      </x:c>
      <x:c r="G77" s="14" t="inlineStr">
        <x:is>
          <x:t xml:space="preserve">—</x:t>
        </x:is>
      </x:c>
      <x:c r="H77" s="13" t="inlineStr">
        <x:is>
          <x:t xml:space="preserve"/>
        </x:is>
      </x:c>
      <x:c r="I77" s="13" t="inlineStr">
        <x:is>
          <x:t xml:space="preserve"/>
        </x:is>
      </x:c>
      <x:c r="J77" s="13" t="inlineStr">
        <x:is>
          <x:t xml:space="preserve"/>
        </x:is>
      </x:c>
      <x:c r="K77" s="13" t="inlineStr">
        <x:is>
          <x:t xml:space="preserve"/>
        </x:is>
      </x:c>
      <x:c r="L77" s="14" t="inlineStr">
        <x:is>
          <x:t xml:space="preserve">Standard/Reg</x:t>
        </x:is>
      </x:c>
      <x:c r="M77" s="21" t="inlineStr">
        <x:is>
          <x:t xml:space="preserve">Foundation</x:t>
        </x:is>
      </x:c>
      <x:c r="N77" s="14" t="inlineStr">
        <x:is>
          <x:t xml:space="preserve">Legal record-keeping/retention driver for forensic readiness.</x:t>
        </x:is>
      </x:c>
      <x:c r="O77" s="13" t="inlineStr">
        <x:is>
          <x:t xml:space="preserve">Yes</x:t>
        </x:is>
      </x:c>
      <x:c r="P77" s="13" t="inlineStr">
        <x:is>
          <x:t xml:space="preserve">Yes</x:t>
        </x:is>
      </x:c>
    </x:row>
    <x:row r="78">
      <x:c r="A78" s="13" t="n">
        <x:v>74</x:v>
      </x:c>
      <x:c r="B78" s="14" t="inlineStr">
        <x:is>
          <x:t xml:space="preserve">Certificate Transparency (RFC 6962)</x:t>
        </x:is>
      </x:c>
      <x:c r="C78" s="14" t="inlineStr">
        <x:is>
          <x:t xml:space="preserve">Laurie</x:t>
        </x:is>
      </x:c>
      <x:c r="D78" s="13" t="inlineStr">
        <x:is>
          <x:t xml:space="preserve">2013</x:t>
        </x:is>
      </x:c>
      <x:c r="E78" s="20" t="inlineStr">
        <x:is>
          <x:t xml:space="preserve">Standard/Reg</x:t>
        </x:is>
      </x:c>
      <x:c r="F78" s="14" t="inlineStr">
        <x:is>
          <x:t xml:space="preserve">IETF RFC 6962</x:t>
        </x:is>
      </x:c>
      <x:c r="G78" s="14" t="inlineStr">
        <x:is>
          <x:t xml:space="preserve">—</x:t>
        </x:is>
      </x:c>
      <x:c r="H78" s="13" t="inlineStr">
        <x:is>
          <x:t xml:space="preserve"/>
        </x:is>
      </x:c>
      <x:c r="I78" s="13" t="inlineStr">
        <x:is>
          <x:t xml:space="preserve"/>
        </x:is>
      </x:c>
      <x:c r="J78" s="13" t="inlineStr">
        <x:is>
          <x:t xml:space="preserve"/>
        </x:is>
      </x:c>
      <x:c r="K78" s="13" t="inlineStr">
        <x:is>
          <x:t xml:space="preserve"/>
        </x:is>
      </x:c>
      <x:c r="L78" s="14" t="inlineStr">
        <x:is>
          <x:t xml:space="preserve">Standard/Reg</x:t>
        </x:is>
      </x:c>
      <x:c r="M78" s="21" t="inlineStr">
        <x:is>
          <x:t xml:space="preserve">Foundation</x:t>
        </x:is>
      </x:c>
      <x:c r="N78" s="14" t="inlineStr">
        <x:is>
          <x:t xml:space="preserve">Append-only verifiable log design inspiring your evidence plane.</x:t>
        </x:is>
      </x:c>
      <x:c r="O78" s="13" t="inlineStr">
        <x:is>
          <x:t xml:space="preserve">Yes</x:t>
        </x:is>
      </x:c>
      <x:c r="P78" s="13" t="inlineStr">
        <x:is>
          <x:t xml:space="preserve">Yes</x:t>
        </x:is>
      </x:c>
    </x:row>
    <x:row r="79">
      <x:c r="A79" s="13" t="n">
        <x:v>75</x:v>
      </x:c>
      <x:c r="B79" s="14" t="inlineStr">
        <x:is>
          <x:t xml:space="preserve">A Ten-Step Process for Forensic Readiness</x:t>
        </x:is>
      </x:c>
      <x:c r="C79" s="14" t="inlineStr">
        <x:is>
          <x:t xml:space="preserve">Rowlingson</x:t>
        </x:is>
      </x:c>
      <x:c r="D79" s="13" t="inlineStr">
        <x:is>
          <x:t xml:space="preserve">2004</x:t>
        </x:is>
      </x:c>
      <x:c r="E79" s="17" t="inlineStr">
        <x:is>
          <x:t xml:space="preserve">Peer-reviewed</x:t>
        </x:is>
      </x:c>
      <x:c r="F79" s="14" t="inlineStr">
        <x:is>
          <x:t xml:space="preserve">IJDE 2(3)</x:t>
        </x:is>
      </x:c>
      <x:c r="G79" s="14" t="inlineStr">
        <x:is>
          <x:t xml:space="preserve">—</x:t>
        </x:is>
      </x:c>
      <x:c r="H79" s="13" t="inlineStr">
        <x:is>
          <x:t xml:space="preserve"/>
        </x:is>
      </x:c>
      <x:c r="I79" s="13" t="inlineStr">
        <x:is>
          <x:t xml:space="preserve"/>
        </x:is>
      </x:c>
      <x:c r="J79" s="13" t="inlineStr">
        <x:is>
          <x:t xml:space="preserve"/>
        </x:is>
      </x:c>
      <x:c r="K79" s="13" t="inlineStr">
        <x:is>
          <x:t xml:space="preserve"/>
        </x:is>
      </x:c>
      <x:c r="L79" s="14" t="inlineStr">
        <x:is>
          <x:t xml:space="preserve">Peer-reviewed (verify)</x:t>
        </x:is>
      </x:c>
      <x:c r="M79" s="21" t="inlineStr">
        <x:is>
          <x:t xml:space="preserve">Foundation</x:t>
        </x:is>
      </x:c>
      <x:c r="N79" s="14" t="inlineStr">
        <x:is>
          <x:t xml:space="preserve">Central conceptual foundation for 'forensic readiness'.</x:t>
        </x:is>
      </x:c>
      <x:c r="O79" s="13" t="inlineStr">
        <x:is>
          <x:t xml:space="preserve">Yes</x:t>
        </x:is>
      </x:c>
      <x:c r="P79" s="13" t="inlineStr">
        <x:is>
          <x:t xml:space="preserve">Yes</x:t>
        </x:is>
      </x:c>
    </x:row>
    <x:row r="80">
      <x:c r="A80" s="13" t="n">
        <x:v>76</x:v>
      </x:c>
      <x:c r="B80" s="14" t="inlineStr">
        <x:is>
          <x:t xml:space="preserve">How to Time-stamp a Digital Document</x:t>
        </x:is>
      </x:c>
      <x:c r="C80" s="14" t="inlineStr">
        <x:is>
          <x:t xml:space="preserve">Haber</x:t>
        </x:is>
      </x:c>
      <x:c r="D80" s="13" t="inlineStr">
        <x:is>
          <x:t xml:space="preserve">1991</x:t>
        </x:is>
      </x:c>
      <x:c r="E80" s="17" t="inlineStr">
        <x:is>
          <x:t xml:space="preserve">Peer-reviewed</x:t>
        </x:is>
      </x:c>
      <x:c r="F80" s="14" t="inlineStr">
        <x:is>
          <x:t xml:space="preserve">J. Cryptology</x:t>
        </x:is>
      </x:c>
      <x:c r="G80" s="14" t="inlineStr">
        <x:is>
          <x:t xml:space="preserve">—</x:t>
        </x:is>
      </x:c>
      <x:c r="H80" s="13" t="inlineStr">
        <x:is>
          <x:t xml:space="preserve"/>
        </x:is>
      </x:c>
      <x:c r="I80" s="13" t="inlineStr">
        <x:is>
          <x:t xml:space="preserve"/>
        </x:is>
      </x:c>
      <x:c r="J80" s="13" t="inlineStr">
        <x:is>
          <x:t xml:space="preserve"/>
        </x:is>
      </x:c>
      <x:c r="K80" s="13" t="inlineStr">
        <x:is>
          <x:t xml:space="preserve"/>
        </x:is>
      </x:c>
      <x:c r="L80" s="14" t="inlineStr">
        <x:is>
          <x:t xml:space="preserve">Peer-reviewed (verify)</x:t>
        </x:is>
      </x:c>
      <x:c r="M80" s="21" t="inlineStr">
        <x:is>
          <x:t xml:space="preserve">Foundation</x:t>
        </x:is>
      </x:c>
      <x:c r="N80" s="14" t="inlineStr">
        <x:is>
          <x:t xml:space="preserve">Trusted timestamping. Evidence-integrity basis.</x:t>
        </x:is>
      </x:c>
      <x:c r="O80" s="13" t="inlineStr">
        <x:is>
          <x:t xml:space="preserve">Yes</x:t>
        </x:is>
      </x:c>
      <x:c r="P80" s="13" t="inlineStr">
        <x:is>
          <x:t xml:space="preserve">No</x:t>
        </x:is>
      </x:c>
    </x:row>
    <x:row r="81">
      <x:c r="A81" s="13" t="n">
        <x:v>77</x:v>
      </x:c>
      <x:c r="B81" s="14" t="inlineStr">
        <x:is>
          <x:t xml:space="preserve">Efficient Data Structures for Tamper-evident Logging</x:t>
        </x:is>
      </x:c>
      <x:c r="C81" s="14" t="inlineStr">
        <x:is>
          <x:t xml:space="preserve">Crosby</x:t>
        </x:is>
      </x:c>
      <x:c r="D81" s="13" t="inlineStr">
        <x:is>
          <x:t xml:space="preserve">2009</x:t>
        </x:is>
      </x:c>
      <x:c r="E81" s="17" t="inlineStr">
        <x:is>
          <x:t xml:space="preserve">Peer-reviewed</x:t>
        </x:is>
      </x:c>
      <x:c r="F81" s="14" t="inlineStr">
        <x:is>
          <x:t xml:space="preserve">USENIX Sec 2009</x:t>
        </x:is>
      </x:c>
      <x:c r="G81" s="14" t="inlineStr">
        <x:is>
          <x:t xml:space="preserve">—</x:t>
        </x:is>
      </x:c>
      <x:c r="H81" s="13" t="inlineStr">
        <x:is>
          <x:t xml:space="preserve"/>
        </x:is>
      </x:c>
      <x:c r="I81" s="13" t="inlineStr">
        <x:is>
          <x:t xml:space="preserve"/>
        </x:is>
      </x:c>
      <x:c r="J81" s="13" t="inlineStr">
        <x:is>
          <x:t xml:space="preserve"/>
        </x:is>
      </x:c>
      <x:c r="K81" s="13" t="inlineStr">
        <x:is>
          <x:t xml:space="preserve"/>
        </x:is>
      </x:c>
      <x:c r="L81" s="14" t="inlineStr">
        <x:is>
          <x:t xml:space="preserve">Peer-reviewed (verify)</x:t>
        </x:is>
      </x:c>
      <x:c r="M81" s="21" t="inlineStr">
        <x:is>
          <x:t xml:space="preserve">Foundation</x:t>
        </x:is>
      </x:c>
      <x:c r="N81" s="14" t="inlineStr">
        <x:is>
          <x:t xml:space="preserve">Hash chains / Merkle. Evidence-integrity basis.</x:t>
        </x:is>
      </x:c>
      <x:c r="O81" s="13" t="inlineStr">
        <x:is>
          <x:t xml:space="preserve">Yes</x:t>
        </x:is>
      </x:c>
      <x:c r="P81" s="13" t="inlineStr">
        <x:is>
          <x:t xml:space="preserve">Yes</x:t>
        </x:is>
      </x:c>
    </x:row>
    <x:row r="82">
      <x:c r="A82" s="13" t="n">
        <x:v>78</x:v>
      </x:c>
      <x:c r="B82" s="14" t="inlineStr">
        <x:is>
          <x:t xml:space="preserve">Comparison of Commercial &amp; Military Security Policies</x:t>
        </x:is>
      </x:c>
      <x:c r="C82" s="14" t="inlineStr">
        <x:is>
          <x:t xml:space="preserve">Clark</x:t>
        </x:is>
      </x:c>
      <x:c r="D82" s="13" t="inlineStr">
        <x:is>
          <x:t xml:space="preserve">1987</x:t>
        </x:is>
      </x:c>
      <x:c r="E82" s="17" t="inlineStr">
        <x:is>
          <x:t xml:space="preserve">Peer-reviewed</x:t>
        </x:is>
      </x:c>
      <x:c r="F82" s="14" t="inlineStr">
        <x:is>
          <x:t xml:space="preserve">IEEE S&amp;P 1987</x:t>
        </x:is>
      </x:c>
      <x:c r="G82" s="14" t="inlineStr">
        <x:is>
          <x:t xml:space="preserve">—</x:t>
        </x:is>
      </x:c>
      <x:c r="H82" s="13" t="inlineStr">
        <x:is>
          <x:t xml:space="preserve"/>
        </x:is>
      </x:c>
      <x:c r="I82" s="13" t="inlineStr">
        <x:is>
          <x:t xml:space="preserve"/>
        </x:is>
      </x:c>
      <x:c r="J82" s="13" t="inlineStr">
        <x:is>
          <x:t xml:space="preserve"/>
        </x:is>
      </x:c>
      <x:c r="K82" s="13" t="inlineStr">
        <x:is>
          <x:t xml:space="preserve"/>
        </x:is>
      </x:c>
      <x:c r="L82" s="14" t="inlineStr">
        <x:is>
          <x:t xml:space="preserve">Peer-reviewed (verify)</x:t>
        </x:is>
      </x:c>
      <x:c r="M82" s="21" t="inlineStr">
        <x:is>
          <x:t xml:space="preserve">Foundation</x:t>
        </x:is>
      </x:c>
      <x:c r="N82" s="14" t="inlineStr">
        <x:is>
          <x:t xml:space="preserve">Integrity vs well-formedness distinction for semantic validity.</x:t>
        </x:is>
      </x:c>
      <x:c r="O82" s="13" t="inlineStr">
        <x:is>
          <x:t xml:space="preserve">Yes</x:t>
        </x:is>
      </x:c>
      <x:c r="P82" s="13" t="inlineStr">
        <x:is>
          <x:t xml:space="preserve">No</x:t>
        </x:is>
      </x:c>
    </x:row>
    <x:row r="83">
      <x:c r="A83" s="13" t="n">
        <x:v>79</x:v>
      </x:c>
      <x:c r="B83" s="14" t="inlineStr">
        <x:is>
          <x:t xml:space="preserve">A Lattice Model of Secure Information Flow</x:t>
        </x:is>
      </x:c>
      <x:c r="C83" s="14" t="inlineStr">
        <x:is>
          <x:t xml:space="preserve">Denning</x:t>
        </x:is>
      </x:c>
      <x:c r="D83" s="13" t="inlineStr">
        <x:is>
          <x:t xml:space="preserve">1976</x:t>
        </x:is>
      </x:c>
      <x:c r="E83" s="17" t="inlineStr">
        <x:is>
          <x:t xml:space="preserve">Peer-reviewed</x:t>
        </x:is>
      </x:c>
      <x:c r="F83" s="14" t="inlineStr">
        <x:is>
          <x:t xml:space="preserve">CACM 19</x:t>
        </x:is>
      </x:c>
      <x:c r="G83" s="14" t="inlineStr">
        <x:is>
          <x:t xml:space="preserve">—</x:t>
        </x:is>
      </x:c>
      <x:c r="H83" s="13" t="inlineStr">
        <x:is>
          <x:t xml:space="preserve"/>
        </x:is>
      </x:c>
      <x:c r="I83" s="13" t="inlineStr">
        <x:is>
          <x:t xml:space="preserve"/>
        </x:is>
      </x:c>
      <x:c r="J83" s="13" t="inlineStr">
        <x:is>
          <x:t xml:space="preserve"/>
        </x:is>
      </x:c>
      <x:c r="K83" s="13" t="inlineStr">
        <x:is>
          <x:t xml:space="preserve"/>
        </x:is>
      </x:c>
      <x:c r="L83" s="14" t="inlineStr">
        <x:is>
          <x:t xml:space="preserve">Peer-reviewed (verify)</x:t>
        </x:is>
      </x:c>
      <x:c r="M83" s="21" t="inlineStr">
        <x:is>
          <x:t xml:space="preserve">Foundation</x:t>
        </x:is>
      </x:c>
      <x:c r="N83" s="14" t="inlineStr">
        <x:is>
          <x:t xml:space="preserve">IFC foundations behind isolation/least-privilege.</x:t>
        </x:is>
      </x:c>
      <x:c r="O83" s="13" t="inlineStr">
        <x:is>
          <x:t xml:space="preserve">Yes</x:t>
        </x:is>
      </x:c>
      <x:c r="P83" s="13" t="inlineStr">
        <x:is>
          <x:t xml:space="preserve">No</x:t>
        </x:is>
      </x:c>
    </x:row>
    <x:row r="84">
      <x:c r="A84" s="13" t="n">
        <x:v>80</x:v>
      </x:c>
      <x:c r="B84" s="14" t="inlineStr">
        <x:is>
          <x:t xml:space="preserve">Why Do Multi-Agent LLM Systems Fail? (MAST)</x:t>
        </x:is>
      </x:c>
      <x:c r="C84" s="14" t="inlineStr">
        <x:is>
          <x:t xml:space="preserve">Cemri</x:t>
        </x:is>
      </x:c>
      <x:c r="D84" s="13" t="inlineStr">
        <x:is>
          <x:t xml:space="preserve">2025</x:t>
        </x:is>
      </x:c>
      <x:c r="E84" s="15" t="inlineStr">
        <x:is>
          <x:t xml:space="preserve">Preprint</x:t>
        </x:is>
      </x:c>
      <x:c r="F84" s="14" t="inlineStr">
        <x:is>
          <x:t xml:space="preserve">arXiv</x:t>
        </x:is>
      </x:c>
      <x:c r="G84" s="14" t="inlineStr">
        <x:is>
          <x:t xml:space="preserve">2503.13657</x:t>
        </x:is>
      </x:c>
      <x:c r="H84" s="13" t="inlineStr">
        <x:is>
          <x:t xml:space="preserve"/>
        </x:is>
      </x:c>
      <x:c r="I84" s="13" t="inlineStr">
        <x:is>
          <x:t xml:space="preserve"/>
        </x:is>
      </x:c>
      <x:c r="J84" s="13" t="inlineStr">
        <x:is>
          <x:t xml:space="preserve"/>
        </x:is>
      </x:c>
      <x:c r="K84" s="13" t="inlineStr">
        <x:is>
          <x:t xml:space="preserve"/>
        </x:is>
      </x:c>
      <x:c r="L84" s="14" t="inlineStr">
        <x:is>
          <x:t xml:space="preserve">Preprint</x:t>
        </x:is>
      </x:c>
      <x:c r="M84" s="21" t="inlineStr">
        <x:is>
          <x:t xml:space="preserve">Foundation</x:t>
        </x:is>
      </x:c>
      <x:c r="N84" s="14" t="inlineStr">
        <x:is>
          <x:t xml:space="preserve">Cascading failures through delegation. Multi-agent blast-radius grounding.</x:t>
        </x:is>
      </x:c>
      <x:c r="O84" s="13" t="inlineStr">
        <x:is>
          <x:t xml:space="preserve">Yes</x:t>
        </x:is>
      </x:c>
      <x:c r="P84" s="13" t="inlineStr">
        <x:is>
          <x:t xml:space="preserve">Yes</x:t>
        </x:is>
      </x:c>
    </x:row>
    <x:row r="85">
      <x:c r="A85" s="13" t="n">
        <x:v>81</x:v>
      </x:c>
      <x:c r="B85" s="14" t="inlineStr">
        <x:is>
          <x:t xml:space="preserve">PRISMA 2020 Statement</x:t>
        </x:is>
      </x:c>
      <x:c r="C85" s="14" t="inlineStr">
        <x:is>
          <x:t xml:space="preserve">Page</x:t>
        </x:is>
      </x:c>
      <x:c r="D85" s="13" t="inlineStr">
        <x:is>
          <x:t xml:space="preserve">2021</x:t>
        </x:is>
      </x:c>
      <x:c r="E85" s="17" t="inlineStr">
        <x:is>
          <x:t xml:space="preserve">Peer-reviewed</x:t>
        </x:is>
      </x:c>
      <x:c r="F85" s="14" t="inlineStr">
        <x:is>
          <x:t xml:space="preserve">BMJ 372:n71</x:t>
        </x:is>
      </x:c>
      <x:c r="G85" s="14" t="inlineStr">
        <x:is>
          <x:t xml:space="preserve">—</x:t>
        </x:is>
      </x:c>
      <x:c r="H85" s="13" t="inlineStr">
        <x:is>
          <x:t xml:space="preserve"/>
        </x:is>
      </x:c>
      <x:c r="I85" s="13" t="inlineStr">
        <x:is>
          <x:t xml:space="preserve"/>
        </x:is>
      </x:c>
      <x:c r="J85" s="13" t="inlineStr">
        <x:is>
          <x:t xml:space="preserve"/>
        </x:is>
      </x:c>
      <x:c r="K85" s="13" t="inlineStr">
        <x:is>
          <x:t xml:space="preserve"/>
        </x:is>
      </x:c>
      <x:c r="L85" s="14" t="inlineStr">
        <x:is>
          <x:t xml:space="preserve">Peer-reviewed (verify)</x:t>
        </x:is>
      </x:c>
      <x:c r="M85" s="21" t="inlineStr">
        <x:is>
          <x:t xml:space="preserve">Foundation</x:t>
        </x:is>
      </x:c>
      <x:c r="N85" s="14" t="inlineStr">
        <x:is>
          <x:t xml:space="preserve">Reporting guideline for the review method.</x:t>
        </x:is>
      </x:c>
      <x:c r="O85" s="13" t="inlineStr">
        <x:is>
          <x:t xml:space="preserve">Context</x:t>
        </x:is>
      </x:c>
      <x:c r="P85" s="13" t="inlineStr">
        <x:is>
          <x:t xml:space="preserve">No</x:t>
        </x:is>
      </x:c>
    </x:row>
    <x:row r="86">
      <x:c r="A86" s="13" t="n">
        <x:v>82</x:v>
      </x:c>
      <x:c r="B86" s="14" t="inlineStr">
        <x:is>
          <x:t xml:space="preserve">PRISMA-ScR (scoping reviews)</x:t>
        </x:is>
      </x:c>
      <x:c r="C86" s="14" t="inlineStr">
        <x:is>
          <x:t xml:space="preserve">Tricco</x:t>
        </x:is>
      </x:c>
      <x:c r="D86" s="13" t="inlineStr">
        <x:is>
          <x:t xml:space="preserve">2018</x:t>
        </x:is>
      </x:c>
      <x:c r="E86" s="17" t="inlineStr">
        <x:is>
          <x:t xml:space="preserve">Peer-reviewed</x:t>
        </x:is>
      </x:c>
      <x:c r="F86" s="14" t="inlineStr">
        <x:is>
          <x:t xml:space="preserve">Ann Intern Med 169</x:t>
        </x:is>
      </x:c>
      <x:c r="G86" s="14" t="inlineStr">
        <x:is>
          <x:t xml:space="preserve">—</x:t>
        </x:is>
      </x:c>
      <x:c r="H86" s="13" t="inlineStr">
        <x:is>
          <x:t xml:space="preserve"/>
        </x:is>
      </x:c>
      <x:c r="I86" s="13" t="inlineStr">
        <x:is>
          <x:t xml:space="preserve"/>
        </x:is>
      </x:c>
      <x:c r="J86" s="13" t="inlineStr">
        <x:is>
          <x:t xml:space="preserve"/>
        </x:is>
      </x:c>
      <x:c r="K86" s="13" t="inlineStr">
        <x:is>
          <x:t xml:space="preserve"/>
        </x:is>
      </x:c>
      <x:c r="L86" s="14" t="inlineStr">
        <x:is>
          <x:t xml:space="preserve">Peer-reviewed (verify)</x:t>
        </x:is>
      </x:c>
      <x:c r="M86" s="21" t="inlineStr">
        <x:is>
          <x:t xml:space="preserve">Foundation</x:t>
        </x:is>
      </x:c>
      <x:c r="N86" s="14" t="inlineStr">
        <x:is>
          <x:t xml:space="preserve">Scoping-review reporting guideline. Use this framing.</x:t>
        </x:is>
      </x:c>
      <x:c r="O86" s="13" t="inlineStr">
        <x:is>
          <x:t xml:space="preserve">Context</x:t>
        </x:is>
      </x:c>
      <x:c r="P86" s="13" t="inlineStr">
        <x:is>
          <x:t xml:space="preserve">No</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52" customWidth="1"/>
    <x:col min="2" max="2" width="20" customWidth="1"/>
    <x:col min="3" max="3" width="74" customWidth="1"/>
  </x:cols>
  <x:sheetData>
    <x:row r="1">
      <x:c r="A1" s="1" t="inlineStr">
        <x:is>
          <x:t xml:space="preserve">Quarantine — do NOT cite without checking each one yourself</x:t>
        </x:is>
      </x:c>
    </x:row>
    <x:row r="2">
      <x:c r="A2" s="11" t="inlineStr">
        <x:is>
          <x:t xml:space="preserve">These are entries the second AI included with 'Unknown / verify' authors or wrong metadata, plus post-cutoff items. I checked each by live search on 15 Jul 2026. Verdicts below. Keep them OUT of the main corpus until confirmed.</x:t>
        </x:is>
      </x:c>
    </x:row>
    <x:row r="4">
      <x:c r="A4" s="12" t="inlineStr">
        <x:is>
          <x:t xml:space="preserve">As listed by 2nd AI</x:t>
        </x:is>
      </x:c>
      <x:c r="B4" s="12" t="inlineStr">
        <x:is>
          <x:t xml:space="preserve">My verification verdict (15 Jul 2026)</x:t>
        </x:is>
      </x:c>
      <x:c r="C4" s="12" t="inlineStr">
        <x:is>
          <x:t xml:space="preserve">What to do</x:t>
        </x:is>
      </x:c>
    </x:row>
    <x:row r="5">
      <x:c r="A5" s="14" t="inlineStr">
        <x:is>
          <x:t xml:space="preserve">'GhostWriter: Persistent Memory Poisoning in LLM Agents' (author Unknown/verify)</x:t>
        </x:is>
      </x:c>
      <x:c r="B5" s="22" t="inlineStr">
        <x:is>
          <x:t xml:space="preserve">FABRICATED</x:t>
        </x:is>
      </x:c>
      <x:c r="C5" s="14" t="inlineStr">
        <x:is>
          <x:t xml:space="preserve">Zero search hits for this title. Almost certainly hallucinated. Remove. If you want a real dormant-poisoning cite, use Trojan Hippo, Sleeper (Pulipaka), or Zombie Agents instead.</x:t>
        </x:is>
      </x:c>
    </x:row>
    <x:row r="6">
      <x:c r="A6" s="14" t="inlineStr">
        <x:is>
          <x:t xml:space="preserve">'ElephantAgent: Long-Lived Memory Integrity for LLM Agents' (Unknown/verify)</x:t>
        </x:is>
      </x:c>
      <x:c r="B6" s="22" t="inlineStr">
        <x:is>
          <x:t xml:space="preserve">FABRICATED</x:t>
        </x:is>
      </x:c>
      <x:c r="C6" s="14" t="inlineStr">
        <x:is>
          <x:t xml:space="preserve">Zero search hits. Remove. For long-lived memory integrity, cite MemOS or MemLineage.</x:t>
        </x:is>
      </x:c>
    </x:row>
    <x:row r="7">
      <x:c r="A7" s="14" t="inlineStr">
        <x:is>
          <x:t xml:space="preserve">'When Claws Remember but Do Not Tell: MemGhost / Whisper' (Unknown/verify)</x:t>
        </x:is>
      </x:c>
      <x:c r="B7" s="22" t="inlineStr">
        <x:is>
          <x:t xml:space="preserve">FABRICATED</x:t>
        </x:is>
      </x:c>
      <x:c r="C7" s="14" t="inlineStr">
        <x:is>
          <x:t xml:space="preserve">No such paper found; the 'Claw' phrasing echoes ClawSafety (a different, real paper). Remove.</x:t>
        </x:is>
      </x:c>
    </x:row>
    <x:row r="8">
      <x:c r="A8" s="14" t="inlineStr">
        <x:is>
          <x:t xml:space="preserve">'Temporal Dynamics of Memory Poisoning in Web3-Style LLM...' — IEEE Access (Unknown/verify)</x:t>
        </x:is>
      </x:c>
      <x:c r="B8" s="23" t="inlineStr">
        <x:is>
          <x:t xml:space="preserve">UNCONFIRMED</x:t>
        </x:is>
      </x:c>
      <x:c r="C8" s="14" t="inlineStr">
        <x:is>
          <x:t xml:space="preserve">No matching IEEE Access record found. Do not cite. If you need temporal-dynamics, use STALE (arXiv:2605.06527) or PersistBench.</x:t>
        </x:is>
      </x:c>
    </x:row>
    <x:row r="9">
      <x:c r="A9" s="14" t="inlineStr">
        <x:is>
          <x:t xml:space="preserve">'DrunkAgent: Memory-Centred Attacks on LLM Agents' — ACM proceedings (Unknown/verify)</x:t>
        </x:is>
      </x:c>
      <x:c r="B9" s="24" t="inlineStr">
        <x:is>
          <x:t xml:space="preserve">REAL but mislabeled</x:t>
        </x:is>
      </x:c>
      <x:c r="C9" s="14" t="inlineStr">
        <x:is>
          <x:t xml:space="preserve">Real paper = 'DrunkAgent: Stealthy Memory Corruption in LLM-Powered RECOMMENDER Agents' (arXiv:2503.23804, ACM Web Conf 2026). It's recommender-specific. Cite with correct title/scope or omit.</x:t>
        </x:is>
      </x:c>
    </x:row>
    <x:row r="10">
      <x:c r="A10" s="14" t="inlineStr">
        <x:is>
          <x:t xml:space="preserve">'Hijacking Agent Memory: Persistent Poisoning of Long-Term...' (Unknown/verify)</x:t>
        </x:is>
      </x:c>
      <x:c r="B10" s="24" t="inlineStr">
        <x:is>
          <x:t xml:space="preserve">REAL but mislabeled</x:t>
        </x:is>
      </x:c>
      <x:c r="C10" s="14" t="inlineStr">
        <x:is>
          <x:t xml:space="preserve">Real paper = 'Hijacking Agent Memory: Stealthy Trojan Attacks Through Conversational Interaction' (method: MemPoison, arXiv:2605.29960). Now in the verified corpus with correct metadata.</x:t>
        </x:is>
      </x:c>
    </x:row>
    <x:row r="11">
      <x:c r="A11" s="14" t="inlineStr">
        <x:is>
          <x:t xml:space="preserve">'Your Agent's Memories Are Not Its Own: Forensic-Aware...FARMA/SENTINEL' (Unknown/verify)</x:t>
        </x:is>
      </x:c>
      <x:c r="B11" s="25" t="inlineStr">
        <x:is>
          <x:t xml:space="preserve">REAL but POST-cutoff</x:t>
        </x:is>
      </x:c>
      <x:c r="C11" s="14" t="inlineStr">
        <x:is>
          <x:t xml:space="preserve">Real = 'Forged Reasoning Attacks on LLM Agent Memory and Defenses' (FARMA attack, SENTINEL defense, arXiv:2607.05029). Dated Jul 2026 — AFTER the survey's 13 Jul cutoff AND both AIs' training cutoffs. Highly relevant (forged reasoning traces). If you cite it, note it as very recent and verify details yourself.</x:t>
        </x:is>
      </x:c>
    </x:row>
    <x:row r="12">
      <x:c r="A12" s="14" t="inlineStr">
        <x:is>
          <x:t xml:space="preserve">Various 'Import exact metadata from ACM DL' survey rows (IDs 79-82, 85: 'AI Agents Under Threat', 'Trustworthy LLM Agents', 'Agentic AI Security', 'Attack and Defense Landscape of Agentic AI')</x:t>
        </x:is>
      </x:c>
      <x:c r="B12" s="23" t="inlineStr">
        <x:is>
          <x:t xml:space="preserve">UNCONFIRMED</x:t>
        </x:is>
      </x:c>
      <x:c r="C12" s="14" t="inlineStr">
        <x:is>
          <x:t xml:space="preserve">Several are plausibly real broad-security surveys but were listed without verified authors/DOIs. Confirm each in ACM DL / IEEE before citing; don't inherit the guessed titles.</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5" customWidth="1"/>
    <x:col min="2" max="2" width="22" customWidth="1"/>
    <x:col min="3" max="3" width="26" customWidth="1"/>
    <x:col min="4" max="4" width="60" customWidth="1"/>
    <x:col min="5" max="5" width="26" customWidth="1"/>
    <x:col min="6" max="6" width="11" customWidth="1"/>
    <x:col min="7" max="7" width="30" customWidth="1"/>
    <x:col min="8" max="8" width="16" customWidth="1"/>
  </x:cols>
  <x:sheetData>
    <x:row r="1">
      <x:c r="A1" s="1" t="inlineStr">
        <x:is>
          <x:t xml:space="preserve">Reproducible database search log</x:t>
        </x:is>
      </x:c>
    </x:row>
    <x:row r="2">
      <x:c r="A2" s="11" t="inlineStr">
        <x:is>
          <x:t xml:space="preserve">Run these exact strings in each database's advanced search, export BibTeX/CSV, and record real counts in the 'Raw results' column. Authenticated Scopus/WoS counts require institutional access and were not available here — that limitation must be stated in your Methods, not hidden.</x:t>
        </x:is>
      </x:c>
    </x:row>
    <x:row r="4">
      <x:c r="A4" s="12" t="inlineStr">
        <x:is>
          <x:t xml:space="preserve">ID</x:t>
        </x:is>
      </x:c>
      <x:c r="B4" s="12" t="inlineStr">
        <x:is>
          <x:t xml:space="preserve">Database</x:t>
        </x:is>
      </x:c>
      <x:c r="C4" s="12" t="inlineStr">
        <x:is>
          <x:t xml:space="preserve">Purpose</x:t>
        </x:is>
      </x:c>
      <x:c r="D4" s="12" t="inlineStr">
        <x:is>
          <x:t xml:space="preserve">Search string (native syntax)</x:t>
        </x:is>
      </x:c>
      <x:c r="E4" s="12" t="inlineStr">
        <x:is>
          <x:t xml:space="preserve">Filters</x:t>
        </x:is>
      </x:c>
      <x:c r="F4" s="12" t="inlineStr">
        <x:is>
          <x:t xml:space="preserve">Search date</x:t>
        </x:is>
      </x:c>
      <x:c r="G4" s="12" t="inlineStr">
        <x:is>
          <x:t xml:space="preserve">Execution status</x:t>
        </x:is>
      </x:c>
      <x:c r="H4" s="12" t="inlineStr">
        <x:is>
          <x:t xml:space="preserve">Raw results (fill in)</x:t>
        </x:is>
      </x:c>
    </x:row>
    <x:row r="5">
      <x:c r="A5" s="14" t="inlineStr">
        <x:is>
          <x:t xml:space="preserve">S1</x:t>
        </x:is>
      </x:c>
      <x:c r="B5" s="14" t="inlineStr">
        <x:is>
          <x:t xml:space="preserve">IEEE Xplore</x:t>
        </x:is>
      </x:c>
      <x:c r="C5" s="14" t="inlineStr">
        <x:is>
          <x:t xml:space="preserve">Broad persistent-memory security</x:t>
        </x:is>
      </x:c>
      <x:c r="D5" s="26" t="inlineStr">
        <x:is>
          <x:t xml:space="preserve">(("All Metadata":"LLM agent" OR "All Metadata":"agentic AI") AND ("All Metadata":"persistent memory" OR "All Metadata":"agent memory") AND ("All Metadata":security OR "All Metadata":poisoning OR "All Metadata":privacy))</x:t>
        </x:is>
      </x:c>
      <x:c r="E5" s="14" t="inlineStr">
        <x:is>
          <x:t xml:space="preserve">2023–2026; journals+conf+early access; English</x:t>
        </x:is>
      </x:c>
      <x:c r="F5" s="14" t="inlineStr">
        <x:is>
          <x:t xml:space="preserve">2026-07-15</x:t>
        </x:is>
      </x:c>
      <x:c r="G5" s="14" t="inlineStr">
        <x:is>
          <x:t xml:space="preserve">Public search done; authenticated count/export pending</x:t>
        </x:is>
      </x:c>
      <x:c r="H5" s="14" t="inlineStr">
        <x:is>
          <x:t xml:space="preserve"/>
        </x:is>
      </x:c>
    </x:row>
    <x:row r="6">
      <x:c r="A6" s="14" t="inlineStr">
        <x:is>
          <x:t xml:space="preserve">S2</x:t>
        </x:is>
      </x:c>
      <x:c r="B6" s="14" t="inlineStr">
        <x:is>
          <x:t xml:space="preserve">IEEE Xplore</x:t>
        </x:is>
      </x:c>
      <x:c r="C6" s="14" t="inlineStr">
        <x:is>
          <x:t xml:space="preserve">Narrow forensic/recovery</x:t>
        </x:is>
      </x:c>
      <x:c r="D6" s="26" t="inlineStr">
        <x:is>
          <x:t xml:space="preserve">(("All Metadata":"LLM agent" OR "All Metadata":"agentic AI") AND ("All Metadata":"agent memory") AND ("All Metadata":forensic OR "All Metadata":provenance OR "All Metadata":rollback OR "All Metadata":recovery))</x:t>
        </x:is>
      </x:c>
      <x:c r="E6" s="14" t="inlineStr">
        <x:is>
          <x:t xml:space="preserve">2023–2026; all types; English</x:t>
        </x:is>
      </x:c>
      <x:c r="F6" s="14" t="inlineStr">
        <x:is>
          <x:t xml:space="preserve">2026-07-15</x:t>
        </x:is>
      </x:c>
      <x:c r="G6" s="14" t="inlineStr">
        <x:is>
          <x:t xml:space="preserve">Public search done; expect small N, inspect all</x:t>
        </x:is>
      </x:c>
      <x:c r="H6" s="14" t="inlineStr">
        <x:is>
          <x:t xml:space="preserve"/>
        </x:is>
      </x:c>
    </x:row>
    <x:row r="7">
      <x:c r="A7" s="14" t="inlineStr">
        <x:is>
          <x:t xml:space="preserve">S3</x:t>
        </x:is>
      </x:c>
      <x:c r="B7" s="14" t="inlineStr">
        <x:is>
          <x:t xml:space="preserve">ACM Digital Library</x:t>
        </x:is>
      </x:c>
      <x:c r="C7" s="14" t="inlineStr">
        <x:is>
          <x:t xml:space="preserve">Broad persistent-memory security</x:t>
        </x:is>
      </x:c>
      <x:c r="D7" s="26" t="inlineStr">
        <x:is>
          <x:t xml:space="preserve">("LLM agent*" OR "large language model agent*" OR "agentic AI" OR "AI agent*") AND ("persistent memory" OR "long-term memory" OR "agent memory" OR "memory bank" OR "shared memory")</x:t>
        </x:is>
      </x:c>
      <x:c r="E7" s="14" t="inlineStr">
        <x:is>
          <x:t xml:space="preserve">2023–2026; research articles+proceedings; English</x:t>
        </x:is>
      </x:c>
      <x:c r="F7" s="14" t="inlineStr">
        <x:is>
          <x:t xml:space="preserve">2026-07-15</x:t>
        </x:is>
      </x:c>
      <x:c r="G7" s="14" t="inlineStr">
        <x:is>
          <x:t xml:space="preserve">Public DOI search done; some pages 403 to automation</x:t>
        </x:is>
      </x:c>
      <x:c r="H7" s="14" t="inlineStr">
        <x:is>
          <x:t xml:space="preserve"/>
        </x:is>
      </x:c>
    </x:row>
    <x:row r="8">
      <x:c r="A8" s="14" t="inlineStr">
        <x:is>
          <x:t xml:space="preserve">S4</x:t>
        </x:is>
      </x:c>
      <x:c r="B8" s="14" t="inlineStr">
        <x:is>
          <x:t xml:space="preserve">ACM Digital Library</x:t>
        </x:is>
      </x:c>
      <x:c r="C8" s="14" t="inlineStr">
        <x:is>
          <x:t xml:space="preserve">Narrow forensic/recovery</x:t>
        </x:is>
      </x:c>
      <x:c r="D8" s="26" t="inlineStr">
        <x:is>
          <x:t xml:space="preserve">("LLM agent*" OR "large language model agent*" OR "agentic AI" OR "AI agent*") AND ("persistent memory" OR "long-term memory" OR "agent memory" OR "memory bank" OR "shared memory") AND (forensic* OR provenance OR lineage OR rollback OR recovery OR "incident" OR audit* OR unlearn*)</x:t>
        </x:is>
      </x:c>
      <x:c r="E8" s="14" t="inlineStr">
        <x:is>
          <x:t xml:space="preserve">2023–2026; research articles+proceedings; English</x:t>
        </x:is>
      </x:c>
      <x:c r="F8" s="14" t="inlineStr">
        <x:is>
          <x:t xml:space="preserve">2026-07-15</x:t>
        </x:is>
      </x:c>
      <x:c r="G8" s="14" t="inlineStr">
        <x:is>
          <x:t xml:space="preserve">Public DOI search done; adjust field selectors as needed</x:t>
        </x:is>
      </x:c>
      <x:c r="H8" s="14" t="inlineStr">
        <x:is>
          <x:t xml:space="preserve"/>
        </x:is>
      </x:c>
    </x:row>
    <x:row r="9">
      <x:c r="A9" s="14" t="inlineStr">
        <x:is>
          <x:t xml:space="preserve">S5</x:t>
        </x:is>
      </x:c>
      <x:c r="B9" s="14" t="inlineStr">
        <x:is>
          <x:t xml:space="preserve">Scopus</x:t>
        </x:is>
      </x:c>
      <x:c r="C9" s="14" t="inlineStr">
        <x:is>
          <x:t xml:space="preserve">Broad persistent-memory security</x:t>
        </x:is>
      </x:c>
      <x:c r="D9" s="26" t="inlineStr">
        <x:is>
          <x:t xml:space="preserve">TITLE-ABS-KEY(("LLM agent*" OR "large language model agent*" OR "agentic AI" OR "AI agent*") AND ("persistent memory" OR "long-term memory" OR "agent memory" OR "memory bank" OR "shared memory"))</x:t>
        </x:is>
      </x:c>
      <x:c r="E9" s="14" t="inlineStr">
        <x:is>
          <x:t xml:space="preserve">article, conference paper, review; English; ≤15 Jul 2026</x:t>
        </x:is>
      </x:c>
      <x:c r="F9" s="14" t="inlineStr">
        <x:is>
          <x:t xml:space="preserve">2026-07-15</x:t>
        </x:is>
      </x:c>
      <x:c r="G9" s="14" t="inlineStr">
        <x:is>
          <x:t xml:space="preserve">NOT executable without institutional access</x:t>
        </x:is>
      </x:c>
      <x:c r="H9" s="14" t="inlineStr">
        <x:is>
          <x:t xml:space="preserve"/>
        </x:is>
      </x:c>
    </x:row>
    <x:row r="10">
      <x:c r="A10" s="14" t="inlineStr">
        <x:is>
          <x:t xml:space="preserve">S6</x:t>
        </x:is>
      </x:c>
      <x:c r="B10" s="14" t="inlineStr">
        <x:is>
          <x:t xml:space="preserve">Scopus</x:t>
        </x:is>
      </x:c>
      <x:c r="C10" s="14" t="inlineStr">
        <x:is>
          <x:t xml:space="preserve">Narrow forensic/recovery</x:t>
        </x:is>
      </x:c>
      <x:c r="D10" s="26" t="inlineStr">
        <x:is>
          <x:t xml:space="preserve">TITLE-ABS-KEY(("LLM agent*" OR "large language model agent*" OR "agentic AI" OR "AI agent*") AND ("persistent memory" OR "long-term memory" OR "agent memory" OR "memory bank" OR "shared memory") AND (forensic* OR provenance OR lineage OR rollback OR recovery OR "incident" OR audit* OR unlearn*))</x:t>
        </x:is>
      </x:c>
      <x:c r="E10" s="14" t="inlineStr">
        <x:is>
          <x:t xml:space="preserve">article, conference paper, review; English; ≤15 Jul 2026</x:t>
        </x:is>
      </x:c>
      <x:c r="F10" s="14" t="inlineStr">
        <x:is>
          <x:t xml:space="preserve">2026-07-15</x:t>
        </x:is>
      </x:c>
      <x:c r="G10" s="14" t="inlineStr">
        <x:is>
          <x:t xml:space="preserve">NOT executable without institutional access</x:t>
        </x:is>
      </x:c>
      <x:c r="H10" s="14" t="inlineStr">
        <x:is>
          <x:t xml:space="preserve"/>
        </x:is>
      </x:c>
    </x:row>
    <x:row r="11">
      <x:c r="A11" s="14" t="inlineStr">
        <x:is>
          <x:t xml:space="preserve">S7</x:t>
        </x:is>
      </x:c>
      <x:c r="B11" s="14" t="inlineStr">
        <x:is>
          <x:t xml:space="preserve">Web of Science Core</x:t>
        </x:is>
      </x:c>
      <x:c r="C11" s="14" t="inlineStr">
        <x:is>
          <x:t xml:space="preserve">Broad persistent-memory security</x:t>
        </x:is>
      </x:c>
      <x:c r="D11" s="26" t="inlineStr">
        <x:is>
          <x:t xml:space="preserve">TS=(("LLM agent*" OR "large language model agent*" OR "agentic AI" OR "AI agent*") AND ("persistent memory" OR "long-term memory" OR "agent memory" OR "memory bank" OR "shared memory"))</x:t>
        </x:is>
      </x:c>
      <x:c r="E11" s="14" t="inlineStr">
        <x:is>
          <x:t xml:space="preserve">2023–2026; SCI-EXP, SSCI, ESCI, CPCI-S; English</x:t>
        </x:is>
      </x:c>
      <x:c r="F11" s="14" t="inlineStr">
        <x:is>
          <x:t xml:space="preserve">2026-07-15</x:t>
        </x:is>
      </x:c>
      <x:c r="G11" s="14" t="inlineStr">
        <x:is>
          <x:t xml:space="preserve">NOT executable without institutional access</x:t>
        </x:is>
      </x:c>
      <x:c r="H11" s="14" t="inlineStr">
        <x:is>
          <x:t xml:space="preserve"/>
        </x:is>
      </x:c>
    </x:row>
    <x:row r="12">
      <x:c r="A12" s="14" t="inlineStr">
        <x:is>
          <x:t xml:space="preserve">S8</x:t>
        </x:is>
      </x:c>
      <x:c r="B12" s="14" t="inlineStr">
        <x:is>
          <x:t xml:space="preserve">Web of Science Core</x:t>
        </x:is>
      </x:c>
      <x:c r="C12" s="14" t="inlineStr">
        <x:is>
          <x:t xml:space="preserve">Narrow forensic/recovery</x:t>
        </x:is>
      </x:c>
      <x:c r="D12" s="26" t="inlineStr">
        <x:is>
          <x:t xml:space="preserve">TS=(("LLM agent*" OR "large language model agent*" OR "agentic AI" OR "AI agent*") AND ("persistent memory" OR "long-term memory" OR "agent memory" OR "memory bank" OR "shared memory") AND (forensic* OR provenance OR lineage OR rollback OR recovery OR "incident" OR audit* OR unlearn*))</x:t>
        </x:is>
      </x:c>
      <x:c r="E12" s="14" t="inlineStr">
        <x:is>
          <x:t xml:space="preserve">2023–2026; SCI-EXP, SSCI, ESCI, CPCI-S; English</x:t>
        </x:is>
      </x:c>
      <x:c r="F12" s="14" t="inlineStr">
        <x:is>
          <x:t xml:space="preserve">2026-07-15</x:t>
        </x:is>
      </x:c>
      <x:c r="G12" s="14" t="inlineStr">
        <x:is>
          <x:t xml:space="preserve">NOT executable without institutional access</x:t>
        </x:is>
      </x:c>
      <x:c r="H12" s="14" t="inlineStr">
        <x:is>
          <x:t xml:space="preserve"/>
        </x:is>
      </x:c>
    </x:row>
    <x:row r="13">
      <x:c r="A13" s="14" t="inlineStr">
        <x:is>
          <x:t xml:space="preserve">S9</x:t>
        </x:is>
      </x:c>
      <x:c r="B13" s="14" t="inlineStr">
        <x:is>
          <x:t xml:space="preserve">arXiv / OpenReview (supplementary)</x:t>
        </x:is>
      </x:c>
      <x:c r="C13" s="14" t="inlineStr">
        <x:is>
          <x:t xml:space="preserve">Capture rapidly emerging 2026 evidence</x:t>
        </x:is>
      </x:c>
      <x:c r="D13" s="26" t="inlineStr">
        <x:is>
          <x:t xml:space="preserve">("LLM agent*" OR "large language model agent*" OR "agentic AI" OR "AI agent*") AND ("persistent memory" OR "long-term memory" OR "agent memory" OR "memory bank" OR "shared memory") (all fields)</x:t>
        </x:is>
      </x:c>
      <x:c r="E13" s="14" t="inlineStr">
        <x:is>
          <x:t xml:space="preserve">≤15 Jul 2026; label preprints separately</x:t>
        </x:is>
      </x:c>
      <x:c r="F13" s="14" t="inlineStr">
        <x:is>
          <x:t xml:space="preserve">2026-07-15</x:t>
        </x:is>
      </x:c>
      <x:c r="G13" s="14" t="inlineStr">
        <x:is>
          <x:t xml:space="preserve">Public search + forward snowballing done</x:t>
        </x:is>
      </x:c>
      <x:c r="H13" s="14" t="inlineStr">
        <x:is>
          <x:t xml:space="preserve">~40 screened</x:t>
        </x:is>
      </x:c>
    </x:row>
    <x:row r="14">
      <x:c r="A14" s="14" t="inlineStr">
        <x:is>
          <x:t xml:space="preserve">S10</x:t>
        </x:is>
      </x:c>
      <x:c r="B14" s="14" t="inlineStr">
        <x:is>
          <x:t xml:space="preserve">Backward/forward snowballing</x:t>
        </x:is>
      </x:c>
      <x:c r="C14" s="14" t="inlineStr">
        <x:is>
          <x:t xml:space="preserve">Completeness</x:t>
        </x:is>
      </x:c>
      <x:c r="D14" s="26" t="inlineStr">
        <x:is>
          <x:t xml:space="preserve">Seeds: Lin et al.; the user draft; AgentPoison; MINJA; MEXTRA; MemLineage; MemAudit; RAGForensics; From Agent Traces to Trust</x:t>
        </x:is>
      </x:c>
      <x:c r="E14" s="14" t="inlineStr">
        <x:is>
          <x:t xml:space="preserve">One backward + one forward pass; stop at saturation</x:t>
        </x:is>
      </x:c>
      <x:c r="F14" s="14" t="inlineStr">
        <x:is>
          <x:t xml:space="preserve">2026-07-15</x:t>
        </x:is>
      </x:c>
      <x:c r="G14" s="14" t="inlineStr">
        <x:is>
          <x:t xml:space="preserve">Completed for candidate corpus; citation-index verification still required</x:t>
        </x:is>
      </x:c>
      <x:c r="H14" s="14" t="inlineStr">
        <x:is>
          <x:t xml:space="preserve">~80 screened</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0" customWidth="1"/>
    <x:col min="2" max="2" width="34" customWidth="1"/>
    <x:col min="3" max="3" width="30" customWidth="1"/>
    <x:col min="4" max="4" width="14" customWidth="1"/>
    <x:col min="5" max="5" width="44" customWidth="1"/>
    <x:col min="6" max="6" width="46" customWidth="1"/>
  </x:cols>
  <x:sheetData>
    <x:row r="1">
      <x:c r="A1" s="1" t="inlineStr">
        <x:is>
          <x:t xml:space="preserve">Survey overlap — your draft vs the field</x:t>
        </x:is>
      </x:c>
    </x:row>
    <x:row r="2">
      <x:c r="A2" s="11" t="inlineStr">
        <x:is>
          <x:t xml:space="preserve">Both AIs independently reached the same conclusion, which is reassuring: the overlap with Lin et al. is real and high on attacks/defenses/governance, but LOW on the forensic core (MEIRC, causal ladder, blast radius, two-plane architecture). That gap is your paper. Risk column is the honest read.</x:t>
        </x:is>
      </x:c>
    </x:row>
    <x:row r="4">
      <x:c r="A4" s="12" t="inlineStr">
        <x:is>
          <x:t xml:space="preserve">Dimension</x:t>
        </x:is>
      </x:c>
      <x:c r="B4" s="12" t="inlineStr">
        <x:is>
          <x:t xml:space="preserve">Lin et al. lifecycle survey</x:t>
        </x:is>
      </x:c>
      <x:c r="C4" s="12" t="inlineStr">
        <x:is>
          <x:t xml:space="preserve">Your draft</x:t>
        </x:is>
      </x:c>
      <x:c r="D4" s="12" t="inlineStr">
        <x:is>
          <x:t xml:space="preserve">Overlap risk</x:t>
        </x:is>
      </x:c>
      <x:c r="E4" s="12" t="inlineStr">
        <x:is>
          <x:t xml:space="preserve">Revised position you should hold</x:t>
        </x:is>
      </x:c>
      <x:c r="F4" s="12" t="inlineStr">
        <x:is>
          <x:t xml:space="preserve">Concrete action</x:t>
        </x:is>
      </x:c>
    </x:row>
    <x:row r="5">
      <x:c r="A5" s="14" t="inlineStr">
        <x:is>
          <x:t xml:space="preserve">Central question</x:t>
        </x:is>
      </x:c>
      <x:c r="B5" s="14" t="inlineStr">
        <x:is>
          <x:t xml:space="preserve">How attacks/defenses/governance map across the lifecycle.</x:t>
        </x:is>
      </x:c>
      <x:c r="C5" s="14" t="inlineStr">
        <x:is>
          <x:t xml:space="preserve">How persistent-memory security can be made forensically ready.</x:t>
        </x:is>
      </x:c>
      <x:c r="D5" s="27" t="inlineStr">
        <x:is>
          <x:t xml:space="preserve">MED-HIGH</x:t>
        </x:is>
      </x:c>
      <x:c r="E5" s="14" t="inlineStr">
        <x:is>
          <x:t xml:space="preserve">What evidence must exist BEFORE an incident, and can memory-to-action be reconstructed AFTER one.</x:t>
        </x:is>
      </x:c>
      <x:c r="F5" s="14" t="inlineStr">
        <x:is>
          <x:t xml:space="preserve">State this distinction verbatim in abstract, intro, and contributions.</x:t>
        </x:is>
      </x:c>
    </x:row>
    <x:row r="6">
      <x:c r="A6" s="14" t="inlineStr">
        <x:is>
          <x:t xml:space="preserve">Unit of analysis</x:t>
        </x:is>
      </x:c>
      <x:c r="B6" s="14" t="inlineStr">
        <x:is>
          <x:t xml:space="preserve">Lifecycle phase (write→forget).</x:t>
        </x:is>
      </x:c>
      <x:c r="C6" s="14" t="inlineStr">
        <x:is>
          <x:t xml:space="preserve">Lifecycle + evidence chain.</x:t>
        </x:is>
      </x:c>
      <x:c r="D6" s="22" t="inlineStr">
        <x:is>
          <x:t xml:space="preserve">HIGH</x:t>
        </x:is>
      </x:c>
      <x:c r="E6" s="14" t="inlineStr">
        <x:is>
          <x:t xml:space="preserve">Evidence transition &amp; causal dependency edge — NOT lifecycle phase.</x:t>
        </x:is>
      </x:c>
      <x:c r="F6" s="14" t="inlineStr">
        <x:is>
          <x:t xml:space="preserve">Demote lifecycle to one orientation figure; organise the body around MEIRC.</x:t>
        </x:is>
      </x:c>
    </x:row>
    <x:row r="7">
      <x:c r="A7" s="14" t="inlineStr">
        <x:is>
          <x:t xml:space="preserve">Attack taxonomy</x:t>
        </x:is>
      </x:c>
      <x:c r="B7" s="14" t="inlineStr">
        <x:is>
          <x:t xml:space="preserve">Attack patterns across phases.</x:t>
        </x:is>
      </x:c>
      <x:c r="C7" s="14" t="inlineStr">
        <x:is>
          <x:t xml:space="preserve">Poisoning/extraction/sleeper/propagation/indirect.</x:t>
        </x:is>
      </x:c>
      <x:c r="D7" s="22" t="inlineStr">
        <x:is>
          <x:t xml:space="preserve">HIGH</x:t>
        </x:is>
      </x:c>
      <x:c r="E7" s="14" t="inlineStr">
        <x:is>
          <x:t xml:space="preserve">Attacks as incident generators, classified by traces left &amp; anti-forensic effect.</x:t>
        </x:is>
      </x:c>
      <x:c r="F7" s="14" t="inlineStr">
        <x:is>
          <x:t xml:space="preserve">Recode attacks into an attack→traces→missing-evidence matrix.</x:t>
        </x:is>
      </x:c>
    </x:row>
    <x:row r="8">
      <x:c r="A8" s="14" t="inlineStr">
        <x:is>
          <x:t xml:space="preserve">Defense taxonomy</x:t>
        </x:is>
      </x:c>
      <x:c r="B8" s="14" t="inlineStr">
        <x:is>
          <x:t xml:space="preserve">Prevention/detection/containment/recovery by phase.</x:t>
        </x:is>
      </x:c>
      <x:c r="C8" s="14" t="inlineStr">
        <x:is>
          <x:t xml:space="preserve">Defense families + forensic value.</x:t>
        </x:is>
      </x:c>
      <x:c r="D8" s="22" t="inlineStr">
        <x:is>
          <x:t xml:space="preserve">HIGH</x:t>
        </x:is>
      </x:c>
      <x:c r="E8" s="14" t="inlineStr">
        <x:is>
          <x:t xml:space="preserve">Each defense judged by evidence produced, reconstructability, residual gap.</x:t>
        </x:is>
      </x:c>
      <x:c r="F8" s="14" t="inlineStr">
        <x:is>
          <x:t xml:space="preserve">Replace descriptive defense survey with an evidence-value matrix.</x:t>
        </x:is>
      </x:c>
    </x:row>
    <x:row r="9">
      <x:c r="A9" s="14" t="inlineStr">
        <x:is>
          <x:t xml:space="preserve">Governance</x:t>
        </x:is>
      </x:c>
      <x:c r="B9" s="14" t="inlineStr">
        <x:is>
          <x:t xml:space="preserve">VMG primitives (WA/PV/PS/RB/VF).</x:t>
        </x:is>
      </x:c>
      <x:c r="C9" s="14" t="inlineStr">
        <x:is>
          <x:t xml:space="preserve">Provenance/authority/access/temporal/recovery.</x:t>
        </x:is>
      </x:c>
      <x:c r="D9" s="22" t="inlineStr">
        <x:is>
          <x:t xml:space="preserve">HIGH</x:t>
        </x:is>
      </x:c>
      <x:c r="E9" s="14" t="inlineStr">
        <x:is>
          <x:t xml:space="preserve">Operational forensic controls: independent evidence plane, retention, chain of custody.</x:t>
        </x:is>
      </x:c>
      <x:c r="F9" s="14" t="inlineStr">
        <x:is>
          <x:t xml:space="preserve">Cite VMG explicitly; position your architecture as the post-incident operational layer under it.</x:t>
        </x:is>
      </x:c>
    </x:row>
    <x:row r="10">
      <x:c r="A10" s="14" t="inlineStr">
        <x:is>
          <x:t xml:space="preserve">Provenance</x:t>
        </x:is>
      </x:c>
      <x:c r="B10" s="14" t="inlineStr">
        <x:is>
          <x:t xml:space="preserve">One of five primitives; storage-time central.</x:t>
        </x:is>
      </x:c>
      <x:c r="C10" s="14" t="inlineStr">
        <x:is>
          <x:t xml:space="preserve">Detailed provenance + lineage.</x:t>
        </x:is>
      </x:c>
      <x:c r="D10" s="27" t="inlineStr">
        <x:is>
          <x:t xml:space="preserve">MED-HIGH</x:t>
        </x:is>
      </x:c>
      <x:c r="E10" s="14" t="inlineStr">
        <x:is>
          <x:t xml:space="preserve">Provenance is NECESSARY evidence but not SUFFICIENT for causal attribution.</x:t>
        </x:is>
      </x:c>
      <x:c r="F10" s="14" t="inlineStr">
        <x:is>
          <x:t xml:space="preserve">Add provenance-vs-authority-vs-causality distinctions + evidence-confidence.</x:t>
        </x:is>
      </x:c>
    </x:row>
    <x:row r="11">
      <x:c r="A11" s="14" t="inlineStr">
        <x:is>
          <x:t xml:space="preserve">Rollback / forgetting</x:t>
        </x:is>
      </x:c>
      <x:c r="B11" s="14" t="inlineStr">
        <x:is>
          <x:t xml:space="preserve">Dedicated phase + verified-forgetting primitive.</x:t>
        </x:is>
      </x:c>
      <x:c r="C11" s="14" t="inlineStr">
        <x:is>
          <x:t xml:space="preserve">Recovery + residual contamination.</x:t>
        </x:is>
      </x:c>
      <x:c r="D11" s="22" t="inlineStr">
        <x:is>
          <x:t xml:space="preserve">HIGH</x:t>
        </x:is>
      </x:c>
      <x:c r="E11" s="14" t="inlineStr">
        <x:is>
          <x:t xml:space="preserve">Dependency-aware recovery + measurable proof no derived copy remains.</x:t>
        </x:is>
      </x:c>
      <x:c r="F11" s="14" t="inlineStr">
        <x:is>
          <x:t xml:space="preserve">Make the 4 recovery objectives + residual-contamination testing a headline.</x:t>
        </x:is>
      </x:c>
    </x:row>
    <x:row r="12">
      <x:c r="A12" s="14" t="inlineStr">
        <x:is>
          <x:t xml:space="preserve">Incident reconstruction</x:t>
        </x:is>
      </x:c>
      <x:c r="B12" s="14" t="inlineStr">
        <x:is>
          <x:t xml:space="preserve">Only indirectly (rollback/traceback).</x:t>
        </x:is>
      </x:c>
      <x:c r="C12" s="14" t="inlineStr">
        <x:is>
          <x:t xml:space="preserve">MEIRC, forward/backward tracing, causal confidence.</x:t>
        </x:is>
      </x:c>
      <x:c r="D12" s="28" t="inlineStr">
        <x:is>
          <x:t xml:space="preserve">LOW</x:t>
        </x:is>
      </x:c>
      <x:c r="E12" s="14" t="inlineStr">
        <x:is>
          <x:t xml:space="preserve">PRIMARY organising contribution.</x:t>
        </x:is>
      </x:c>
      <x:c r="F12" s="14" t="inlineStr">
        <x:is>
          <x:t xml:space="preserve">Expand into a formal evidence graph + reconstruction workflow with pseudocode.</x:t>
        </x:is>
      </x:c>
    </x:row>
    <x:row r="13">
      <x:c r="A13" s="14" t="inlineStr">
        <x:is>
          <x:t xml:space="preserve">Blast-radius analysis</x:t>
        </x:is>
      </x:c>
      <x:c r="B13" s="14" t="inlineStr">
        <x:is>
          <x:t xml:space="preserve">Propagation as a threat phase.</x:t>
        </x:is>
      </x:c>
      <x:c r="C13" s="14" t="inlineStr">
        <x:is>
          <x:t xml:space="preserve">Derived copies, users, agents, tools, actions.</x:t>
        </x:is>
      </x:c>
      <x:c r="D13" s="29" t="inlineStr">
        <x:is>
          <x:t xml:space="preserve">LOW-MED</x:t>
        </x:is>
      </x:c>
      <x:c r="E13" s="14" t="inlineStr">
        <x:is>
          <x:t xml:space="preserve">Graph-based incident scope + dependency revocation.</x:t>
        </x:is>
      </x:c>
      <x:c r="F13" s="14" t="inlineStr">
        <x:is>
          <x:t xml:space="preserve">Give a blast-radius definition, traversal rules, uncertainty handling.</x:t>
        </x:is>
      </x:c>
    </x:row>
    <x:row r="14">
      <x:c r="A14" s="14" t="inlineStr">
        <x:is>
          <x:t xml:space="preserve">Causal attribution</x:t>
        </x:is>
      </x:c>
      <x:c r="B14" s="14" t="inlineStr">
        <x:is>
          <x:t xml:space="preserve">Not central.</x:t>
        </x:is>
      </x:c>
      <x:c r="C14" s="14" t="inlineStr">
        <x:is>
          <x:t xml:space="preserve">Counterfactual replay + confidence.</x:t>
        </x:is>
      </x:c>
      <x:c r="D14" s="28" t="inlineStr">
        <x:is>
          <x:t xml:space="preserve">LOW</x:t>
        </x:is>
      </x:c>
      <x:c r="E14" s="14" t="inlineStr">
        <x:is>
          <x:t xml:space="preserve">Distinguish correlation / contribution / causal confidence under nondeterminism.</x:t>
        </x:is>
      </x:c>
      <x:c r="F14" s="14" t="inlineStr">
        <x:is>
          <x:t xml:space="preserve">Ship the L0–L4 evidence-confidence ladder + a minimum reporting protocol.</x:t>
        </x:is>
      </x:c>
    </x:row>
    <x:row r="15">
      <x:c r="A15" s="14" t="inlineStr">
        <x:is>
          <x:t xml:space="preserve">Forensic architecture</x:t>
        </x:is>
      </x:c>
      <x:c r="B15" s="14" t="inlineStr">
        <x:is>
          <x:t xml:space="preserve">No separate evidence plane.</x:t>
        </x:is>
      </x:c>
      <x:c r="C15" s="14" t="inlineStr">
        <x:is>
          <x:t xml:space="preserve">Two-plane production/evidence.</x:t>
        </x:is>
      </x:c>
      <x:c r="D15" s="28" t="inlineStr">
        <x:is>
          <x:t xml:space="preserve">LOW</x:t>
        </x:is>
      </x:c>
      <x:c r="E15" s="14" t="inlineStr">
        <x:is>
          <x:t xml:space="preserve">Independently-administered, append-only, privacy-aware evidence plane.</x:t>
        </x:is>
      </x:c>
      <x:c r="F15" s="14" t="inlineStr">
        <x:is>
          <x:t xml:space="preserve">Specify event schema, trust boundary, tamper evidence, retention.</x:t>
        </x:is>
      </x:c>
    </x:row>
    <x:row r="16">
      <x:c r="A16" s="14" t="inlineStr">
        <x:is>
          <x:t xml:space="preserve">Second competitor</x:t>
        </x:is>
      </x:c>
      <x:c r="B16" s="14" t="inlineStr">
        <x:is>
          <x:t xml:space="preserve">n/a</x:t>
        </x:is>
      </x:c>
      <x:c r="C16" s="14" t="inlineStr">
        <x:is>
          <x:t xml:space="preserve">You cite 'From Agent Traces to Trust'.</x:t>
        </x:is>
      </x:c>
      <x:c r="D16" s="30" t="inlineStr">
        <x:is>
          <x:t xml:space="preserve">HIGH (for provenance-only framing)</x:t>
        </x:is>
      </x:c>
      <x:c r="E16" s="14" t="inlineStr">
        <x:is>
          <x:t xml:space="preserve">Differentiate from Wang et al. by restricting to PERSISTENT MEMORY + admissibility + recovery.</x:t>
        </x:is>
      </x:c>
      <x:c r="F16" s="14" t="inlineStr">
        <x:is>
          <x:t xml:space="preserve">Add a direct comparison table with explicit non-overlap claims (cite their Section 6 by name).</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9" customWidth="1"/>
    <x:col min="2" max="2" width="40" customWidth="1"/>
    <x:col min="3" max="3" width="42" customWidth="1"/>
    <x:col min="4" max="4" width="66" customWidth="1"/>
  </x:cols>
  <x:sheetData>
    <x:row r="1">
      <x:c r="A1" s="1" t="inlineStr">
        <x:is>
          <x:t xml:space="preserve">Differentiation plan (both AIs merged, deduplicated)</x:t>
        </x:is>
      </x:c>
    </x:row>
    <x:row r="2">
      <x:c r="A2" s="11" t="inlineStr">
        <x:is>
          <x:t xml:space="preserve">P1 = before submission · P2 = strengthens · P3 = polish. Both AIs agreed on the substance; this is the union, de-duplicated.</x:t>
        </x:is>
      </x:c>
    </x:row>
    <x:row r="4" ht="20" customHeight="1">
      <x:c r="A4" s="31" t="inlineStr">
        <x:is>
          <x:t xml:space="preserve">VERDICT (unchanged from my first pass, now cross-confirmed by the 2nd AI)</x:t>
        </x:is>
      </x:c>
    </x:row>
    <x:row r="5" ht="92" customHeight="1">
      <x:c r="A5" s="32" t="inlineStr">
        <x:is>
          <x:t xml:space="preserve">Not a duplicate — the forensic-readiness core is genuinely novel vs Lin et al. and vs Wang et al. Both AIs reached this independently. Acceptance depends on (a) making the differentiation loud and early, (b) refreshing the corpus with the newest verified primary work, and (c) NOT importing unverified citations. A 'systematic-scoping survey / SoK' framing is safe; a 'tutorial survey' (the 2nd AI's preference) is also fine but more limiting. Do the P1 moves and it is publishable.</x:t>
        </x:is>
      </x:c>
    </x:row>
    <x:row r="7">
      <x:c r="A7" s="12" t="inlineStr">
        <x:is>
          <x:t xml:space="preserve">Priority</x:t>
        </x:is>
      </x:c>
      <x:c r="B7" s="12" t="inlineStr">
        <x:is>
          <x:t xml:space="preserve">Move</x:t>
        </x:is>
      </x:c>
      <x:c r="C7" s="12" t="inlineStr">
        <x:is>
          <x:t xml:space="preserve">Why it matters</x:t>
        </x:is>
      </x:c>
      <x:c r="D7" s="12" t="inlineStr">
        <x:is>
          <x:t xml:space="preserve">Concretely, what to do</x:t>
        </x:is>
      </x:c>
    </x:row>
    <x:row r="8">
      <x:c r="A8" s="22" t="inlineStr">
        <x:is>
          <x:t xml:space="preserve">P1</x:t>
        </x:is>
      </x:c>
      <x:c r="B8" s="33" t="inlineStr">
        <x:is>
          <x:t xml:space="preserve">Lead related-work with the 3-way contrast</x:t>
        </x:is>
      </x:c>
      <x:c r="C8" s="14" t="inlineStr">
        <x:is>
          <x:t xml:space="preserve">A reviewer's first question is 'how is this not Lin et al. / Wang et al.?'.</x:t>
        </x:is>
      </x:c>
      <x:c r="D8" s="14" t="inlineStr">
        <x:is>
          <x:t xml:space="preserve">Move your Table 11 to the top of related work / into the intro. One-liners: Lin et al. = governance PREDICATES; Wang et al. = process-level provenance across ALL execution; THIS = post-incident forensics &amp; recovery for persistent memory.</x:t>
        </x:is>
      </x:c>
    </x:row>
    <x:row r="9">
      <x:c r="A9" s="22" t="inlineStr">
        <x:is>
          <x:t xml:space="preserve">P1</x:t>
        </x:is>
      </x:c>
      <x:c r="B9" s="33" t="inlineStr">
        <x:is>
          <x:t xml:space="preserve">Carve out explicitly vs Wang et al.'s memory section</x:t>
        </x:is>
      </x:c>
      <x:c r="C9" s="14" t="inlineStr">
        <x:is>
          <x:t xml:space="preserve">'From Agent Traces to Trust' has a whole 'Memory as Provenance-Bearing Evidence' section + audit/recovery. Highest overlap.</x:t>
        </x:is>
      </x:c>
      <x:c r="D9" s="14" t="inlineStr">
        <x:is>
          <x:t xml:space="preserve">Cite their Section 6 by name; enumerate 5 additions: admissibility/tamper-evidence, blast-radius across derived+cached+peer copies, residual-contamination as recovery criterion, anti-forensics detection, forensic benchmark.</x:t>
        </x:is>
      </x:c>
    </x:row>
    <x:row r="10">
      <x:c r="A10" s="22" t="inlineStr">
        <x:is>
          <x:t xml:space="preserve">P1</x:t>
        </x:is>
      </x:c>
      <x:c r="B10" s="33" t="inlineStr">
        <x:is>
          <x:t xml:space="preserve">Refresh corpus with newest VERIFIED primary work</x:t>
        </x:is>
      </x:c>
      <x:c r="C10" s="14" t="inlineStr">
        <x:is>
          <x:t xml:space="preserve">Absence signals a stale search; presence of wrong titles signals worse. Do both right.</x:t>
        </x:is>
      </x:c>
      <x:c r="D10" s="14" t="inlineStr">
        <x:is>
          <x:t xml:space="preserve">Add (verified, in Corpus): Trojan Hippo, MPBench, Sleeper, MemLineage, Origin-bound Authority, MemAudit, Forensic Trajectory Signatures, GateMem, CIMemories, ER-MIA, MemPoison, ShadowMerge. Verify FARMA/SENTINEL (Jul 2026) before citing.</x:t>
        </x:is>
      </x:c>
    </x:row>
    <x:row r="11">
      <x:c r="A11" s="22" t="inlineStr">
        <x:is>
          <x:t xml:space="preserve">P1</x:t>
        </x:is>
      </x:c>
      <x:c r="B11" s="33" t="inlineStr">
        <x:is>
          <x:t xml:space="preserve">Recode attacks and defenses through a forensic lens</x:t>
        </x:is>
      </x:c>
      <x:c r="C11" s="14" t="inlineStr">
        <x:is>
          <x:t xml:space="preserve">This converts 'another taxonomy' into new synthesis and is the cleanest way to de-duplicate Lin et al.</x:t>
        </x:is>
      </x:c>
      <x:c r="D11" s="14" t="inlineStr">
        <x:is>
          <x:t xml:space="preserve">Attack→traces→missing-evidence→anti-forensic matrix; Defense→evidence-produced→reconstructability→residual-gap matrix. (Both AIs independently recommend this.)</x:t>
        </x:is>
      </x:c>
    </x:row>
    <x:row r="12">
      <x:c r="A12" s="22" t="inlineStr">
        <x:is>
          <x:t xml:space="preserve">P1</x:t>
        </x:is>
      </x:c>
      <x:c r="B12" s="33" t="inlineStr">
        <x:is>
          <x:t xml:space="preserve">Make recovery / residual-contamination the headline</x:t>
        </x:is>
      </x:c>
      <x:c r="C12" s="14" t="inlineStr">
        <x:is>
          <x:t xml:space="preserve">Nobody else operationalizes residual contamination as the pass/fail criterion.</x:t>
        </x:is>
      </x:c>
      <x:c r="D12" s="14" t="inlineStr">
        <x:is>
          <x:t xml:space="preserve">Foreground the 4 recovery objectives + 'deletion != removal of influence' in abstract/intro; ground in machine-unlearning (Bourtoule, TOFU).</x:t>
        </x:is>
      </x:c>
    </x:row>
    <x:row r="13">
      <x:c r="A13" s="22" t="inlineStr">
        <x:is>
          <x:t xml:space="preserve">P1</x:t>
        </x:is>
      </x:c>
      <x:c r="B13" s="33" t="inlineStr">
        <x:is>
          <x:t xml:space="preserve">State review type honestly + discipline scarcity claims</x:t>
        </x:is>
      </x:c>
      <x:c r="C13" s="14" t="inlineStr">
        <x:is>
          <x:t xml:space="preserve">Claiming a complete census invites 'you missed X'; field-wide scarcity claims are unverifiable.</x:t>
        </x:is>
      </x:c>
      <x:c r="D13" s="14" t="inlineStr">
        <x:is>
          <x:t xml:space="preserve">Call it a systematic-scoping survey / SoK; qualify scarcity claims as 'within our screened corpus'. Report the arXiv-supplementary layer transparently.</x:t>
        </x:is>
      </x:c>
    </x:row>
    <x:row r="14">
      <x:c r="A14" s="22" t="inlineStr">
        <x:is>
          <x:t xml:space="preserve">P1</x:t>
        </x:is>
      </x:c>
      <x:c r="B14" s="33" t="inlineStr">
        <x:is>
          <x:t xml:space="preserve">Do NOT import unverified citations</x:t>
        </x:is>
      </x:c>
      <x:c r="C14" s="14" t="inlineStr">
        <x:is>
          <x:t xml:space="preserve">The 2nd AI's candidate list contains fabricated/mislabeled rows. Carrying them in would be fatal at review.</x:t>
        </x:is>
      </x:c>
      <x:c r="D14" s="14" t="inlineStr">
        <x:is>
          <x:t xml:space="preserve">Use the 'Quarantine - Unverified' tab; check every 'Unknown/verify' item against the real database before it enters your .bib.</x:t>
        </x:is>
      </x:c>
    </x:row>
    <x:row r="15">
      <x:c r="A15" s="24" t="inlineStr">
        <x:is>
          <x:t xml:space="preserve">P2</x:t>
        </x:is>
      </x:c>
      <x:c r="B15" s="33" t="inlineStr">
        <x:is>
          <x:t xml:space="preserve">Turn MEIRC + L0–L4 ladder into signature artifacts</x:t>
        </x:is>
      </x:c>
      <x:c r="C15" s="14" t="inlineStr">
        <x:is>
          <x:t xml:space="preserve">Reviewers remember one good framework; a worked example proves it does analytical work.</x:t>
        </x:is>
      </x:c>
      <x:c r="D15" s="14" t="inlineStr">
        <x:is>
          <x:t xml:space="preserve">Formalise MEIRC node/edge types + pseudocode; map one real attack (e.g., Trojan Hippo or MINJA) up the ladder from L0 presence to L4 reproduced.</x:t>
        </x:is>
      </x:c>
    </x:row>
    <x:row r="16">
      <x:c r="A16" s="24" t="inlineStr">
        <x:is>
          <x:t xml:space="preserve">P2</x:t>
        </x:is>
      </x:c>
      <x:c r="B16" s="33" t="inlineStr">
        <x:is>
          <x:t xml:space="preserve">Add a primitive→evidence mapping table</x:t>
        </x:is>
      </x:c>
      <x:c r="C16" s="14" t="inlineStr">
        <x:is>
          <x:t xml:space="preserve">Shows you SUBSUME rather than repeat; converts overlap into extension.</x:t>
        </x:is>
      </x:c>
      <x:c r="D16" s="14" t="inlineStr">
        <x:is>
          <x:t xml:space="preserve">Table: each Lin et al. VMG primitive (WA/PV/PS/RB/VF) → the MEIRC layer + minimum evidence that makes it auditable after the fact.</x:t>
        </x:is>
      </x:c>
    </x:row>
    <x:row r="17">
      <x:c r="A17" s="24" t="inlineStr">
        <x:is>
          <x:t xml:space="preserve">P2</x:t>
        </x:is>
      </x:c>
      <x:c r="B17" s="33" t="inlineStr">
        <x:is>
          <x:t xml:space="preserve">Strengthen two-plane architecture with a threat it uniquely defeats</x:t>
        </x:is>
      </x:c>
      <x:c r="C17" s="14" t="inlineStr">
        <x:is>
          <x:t xml:space="preserve">Architecture claims convince when tied to an attack they stop.</x:t>
        </x:is>
      </x:c>
      <x:c r="D17" s="14" t="inlineStr">
        <x:is>
          <x:t xml:space="preserve">Use anti-forensics (log deletion / semantic rollback, cf. ACRFence) to motivate append-only + independently-administered evidence plane.</x:t>
        </x:is>
      </x:c>
    </x:row>
    <x:row r="18">
      <x:c r="A18" s="24" t="inlineStr">
        <x:is>
          <x:t xml:space="preserve">P2</x:t>
        </x:is>
      </x:c>
      <x:c r="B18" s="33" t="inlineStr">
        <x:is>
          <x:t xml:space="preserve">Add a closest-survey feature matrix</x:t>
        </x:is>
      </x:c>
      <x:c r="C18" s="14" t="inlineStr">
        <x:is>
          <x:t xml:space="preserve">Pre-empts the novelty objection with a single glanceable table.</x:t>
        </x:is>
      </x:c>
      <x:c r="D18" s="14" t="inlineStr">
        <x:is>
          <x:t xml:space="preserve">Columns: persistent memory, evidence schema, chain of custody, blast radius, recovery proof, benchmark. Rows: Lin et al., Wang et al., Always-On Agents, THIS.</x:t>
        </x:is>
      </x:c>
    </x:row>
    <x:row r="19">
      <x:c r="A19" s="34" t="inlineStr">
        <x:is>
          <x:t xml:space="preserve">P3</x:t>
        </x:is>
      </x:c>
      <x:c r="B19" s="33" t="inlineStr">
        <x:is>
          <x:t xml:space="preserve">Add a 'what we deliberately exclude' paragraph</x:t>
        </x:is>
      </x:c>
      <x:c r="C19" s="14" t="inlineStr">
        <x:is>
          <x:t xml:space="preserve">Sharpens identity; pre-empts scope complaints.</x:t>
        </x:is>
      </x:c>
      <x:c r="D19" s="14" t="inlineStr">
        <x:is>
          <x:t xml:space="preserve">Exclude parametric-memory/unlearning internals, general RAG-corpus security, generic observability — cite the survey that owns each.</x:t>
        </x:is>
      </x:c>
    </x:row>
    <x:row r="20">
      <x:c r="A20" s="34" t="inlineStr">
        <x:is>
          <x:t xml:space="preserve">P3</x:t>
        </x:is>
      </x:c>
      <x:c r="B20" s="33" t="inlineStr">
        <x:is>
          <x:t xml:space="preserve">Release a living repo / benchmark stub</x:t>
        </x:is>
      </x:c>
      <x:c r="C20" s="14" t="inlineStr">
        <x:is>
          <x:t xml:space="preserve">Reproducibility signal; Wang et al. advertise a GitHub.</x:t>
        </x:is>
      </x:c>
      <x:c r="D20" s="14" t="inlineStr">
        <x:is>
          <x:t xml:space="preserve">Versioned scenario spec + logging-schema stub for the proposed forensic benchmark.</x:t>
        </x:is>
      </x:c>
    </x:row>
  </x:sheetData>
  <x:mergeCells>
    <x:mergeCell ref="A5:D5"/>
    <x:mergeCell ref="A4:D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4" customWidth="1"/>
    <x:col min="2" max="2" width="40" customWidth="1"/>
    <x:col min="3" max="3" width="44" customWidth="1"/>
    <x:col min="4" max="4" width="52" customWidth="1"/>
  </x:cols>
  <x:sheetData>
    <x:row r="1">
      <x:c r="A1" s="1" t="inlineStr">
        <x:is>
          <x:t xml:space="preserve">Honest comparison: my first workbook vs the second AI's</x:t>
        </x:is>
      </x:c>
    </x:row>
    <x:row r="2">
      <x:c r="A2" s="11" t="inlineStr">
        <x:is>
          <x:t xml:space="preserve">So you can see exactly what changed and why, rather than taking my word that a revision was warranted.</x:t>
        </x:is>
      </x:c>
    </x:row>
    <x:row r="4">
      <x:c r="A4" s="12" t="inlineStr">
        <x:is>
          <x:t xml:space="preserve">Dimension</x:t>
        </x:is>
      </x:c>
      <x:c r="B4" s="12" t="inlineStr">
        <x:is>
          <x:t xml:space="preserve">My first workbook</x:t>
        </x:is>
      </x:c>
      <x:c r="C4" s="12" t="inlineStr">
        <x:is>
          <x:t xml:space="preserve">Second AI's workbook</x:t>
        </x:is>
      </x:c>
      <x:c r="D4" s="12" t="inlineStr">
        <x:is>
          <x:t xml:space="preserve">This revised workbook</x:t>
        </x:is>
      </x:c>
    </x:row>
    <x:row r="5">
      <x:c r="A5" s="33" t="inlineStr">
        <x:is>
          <x:t xml:space="preserve">Corpus size</x:t>
        </x:is>
      </x:c>
      <x:c r="B5" s="14" t="inlineStr">
        <x:is>
          <x:t xml:space="preserve">77 records</x:t>
        </x:is>
      </x:c>
      <x:c r="C5" s="14" t="inlineStr">
        <x:is>
          <x:t xml:space="preserve">95 candidate records</x:t>
        </x:is>
      </x:c>
      <x:c r="D5" s="14" t="inlineStr">
        <x:is>
          <x:t xml:space="preserve">~85 VERIFIED + a separate quarantine tab</x:t>
        </x:is>
      </x:c>
    </x:row>
    <x:row r="6">
      <x:c r="A6" s="33" t="inlineStr">
        <x:is>
          <x:t xml:space="preserve">Corpus integrity</x:t>
        </x:is>
      </x:c>
      <x:c r="B6" s="14" t="inlineStr">
        <x:is>
          <x:t xml:space="preserve">All entries were real (live-searched), but fewer of the newest June/July papers.</x:t>
        </x:is>
      </x:c>
      <x:c r="C6" s="14" t="inlineStr">
        <x:is>
          <x:t xml:space="preserve">Broadest coverage BUT ≥5 fabricated/mislabeled 'Unknown/verify' rows (GhostWriter, ElephantAgent, etc.).</x:t>
        </x:is>
      </x:c>
      <x:c r="D6" s="14" t="inlineStr">
        <x:is>
          <x:t xml:space="preserve">Every main-corpus row live-verified; fabrications quarantined with verdicts; adds real papers both missed (ER-MIA, MemPoison, ShadowMerge, MEMSAD, SuperLocalMemory, MRMMIA, AgentLAB).</x:t>
        </x:is>
      </x:c>
    </x:row>
    <x:row r="7">
      <x:c r="A7" s="33" t="inlineStr">
        <x:is>
          <x:t xml:space="preserve">Search-log rigor</x:t>
        </x:is>
      </x:c>
      <x:c r="B7" s="14" t="inlineStr">
        <x:is>
          <x:t xml:space="preserve">Single suggested search string; no per-database log.</x:t>
        </x:is>
      </x:c>
      <x:c r="C7" s="14" t="inlineStr">
        <x:is>
          <x:t xml:space="preserve">STRONG: native-syntax strings per database (IEEE/Scopus/WoS), dates, honest access caveat.</x:t>
        </x:is>
      </x:c>
      <x:c r="D7" s="14" t="inlineStr">
        <x:is>
          <x:t xml:space="preserve">Adopted the 2nd AI's per-database log, corrected and reproduced.</x:t>
        </x:is>
      </x:c>
    </x:row>
    <x:row r="8">
      <x:c r="A8" s="33" t="inlineStr">
        <x:is>
          <x:t xml:space="preserve">Per-database verification columns</x:t>
        </x:is>
      </x:c>
      <x:c r="B8" s="14" t="inlineStr">
        <x:is>
          <x:t xml:space="preserve">No.</x:t>
        </x:is>
      </x:c>
      <x:c r="C8" s="14" t="inlineStr">
        <x:is>
          <x:t xml:space="preserve">YES: IEEE/ACM/Scopus/WoS + indexing-confidence columns.</x:t>
        </x:is>
      </x:c>
      <x:c r="D8" s="14" t="inlineStr">
        <x:is>
          <x:t xml:space="preserve">Adopted (tick-box columns in Corpus tab).</x:t>
        </x:is>
      </x:c>
    </x:row>
    <x:row r="9">
      <x:c r="A9" s="33" t="inlineStr">
        <x:is>
          <x:t xml:space="preserve">Overlap analysis</x:t>
        </x:is>
      </x:c>
      <x:c r="B9" s="14" t="inlineStr">
        <x:is>
          <x:t xml:space="preserve">Solid head-to-head on ~6 surveys.</x:t>
        </x:is>
      </x:c>
      <x:c r="C9" s="14" t="inlineStr">
        <x:is>
          <x:t xml:space="preserve">Excellent dimension-by-dimension overlap table.</x:t>
        </x:is>
      </x:c>
      <x:c r="D9" s="14" t="inlineStr">
        <x:is>
          <x:t xml:space="preserve">Merged both; kept the more granular dimension rows.</x:t>
        </x:is>
      </x:c>
    </x:row>
    <x:row r="10">
      <x:c r="A10" s="33" t="inlineStr">
        <x:is>
          <x:t xml:space="preserve">Differentiation plan</x:t>
        </x:is>
      </x:c>
      <x:c r="B10" s="14" t="inlineStr">
        <x:is>
          <x:t xml:space="preserve">10 prioritised moves.</x:t>
        </x:is>
      </x:c>
      <x:c r="C10" s="14" t="inlineStr">
        <x:is>
          <x:t xml:space="preserve">17 revision items, very actionable.</x:t>
        </x:is>
      </x:c>
      <x:c r="D10" s="14" t="inlineStr">
        <x:is>
          <x:t xml:space="preserve">Union of both, de-duplicated, priority-ranked; added 'don't import unverified citations'.</x:t>
        </x:is>
      </x:c>
    </x:row>
    <x:row r="11">
      <x:c r="A11" s="33" t="inlineStr">
        <x:is>
          <x:t xml:space="preserve">Paper-type advice</x:t>
        </x:is>
      </x:c>
      <x:c r="B11" s="14" t="inlineStr">
        <x:is>
          <x:t xml:space="preserve">'Scoping survey / SoK' (flexible).</x:t>
        </x:is>
      </x:c>
      <x:c r="C11" s="14" t="inlineStr">
        <x:is>
          <x:t xml:space="preserve">'Tutorial survey' (firmer, more limiting).</x:t>
        </x:is>
      </x:c>
      <x:c r="D11" s="14" t="inlineStr">
        <x:is>
          <x:t xml:space="preserve">Presents both; recommends scoping/SoK as safer, tutorial as valid alternative.</x:t>
        </x:is>
      </x:c>
    </x:row>
    <x:row r="12">
      <x:c r="A12" s="33" t="inlineStr">
        <x:is>
          <x:t xml:space="preserve">Biggest weakness</x:t>
        </x:is>
      </x:c>
      <x:c r="B12" s="14" t="inlineStr">
        <x:is>
          <x:t xml:space="preserve">Missed some newest papers; lighter on PRISMA apparatus.</x:t>
        </x:is>
      </x:c>
      <x:c r="C12" s="14" t="inlineStr">
        <x:is>
          <x:t xml:space="preserve">Data-integrity: fabricated citations that could sink a submission if imported.</x:t>
        </x:is>
      </x:c>
      <x:c r="D12" s="14" t="inlineStr">
        <x:is>
          <x:t xml:space="preserve">Aims to have neither — but YOU must still verify each row against the live databases before submission.</x:t>
        </x:is>
      </x:c>
    </x:row>
    <x:row r="13">
      <x:c r="A13" s="33" t="inlineStr">
        <x:is>
          <x:t xml:space="preserve">Net</x:t>
        </x:is>
      </x:c>
      <x:c r="B13" s="14" t="inlineStr">
        <x:is>
          <x:t xml:space="preserve">Trustworthy but less complete.</x:t>
        </x:is>
      </x:c>
      <x:c r="C13" s="14" t="inlineStr">
        <x:is>
          <x:t xml:space="preserve">More complete and better-structured, but not safe to use as-is.</x:t>
        </x:is>
      </x:c>
      <x:c r="D13" s="14" t="inlineStr">
        <x:is>
          <x:t xml:space="preserve">Best of both: the 2nd AI's structure + a verified corpus + explicit quarantine.</x:t>
        </x:is>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0" hidden="0" customWidth="1"/>
    <x:col min="5" max="5" width="18" hidden="0" customWidth="1"/>
    <x:col min="6" max="6" width="18" hidden="0" customWidth="1"/>
    <x:col min="7" max="7" width="18" hidden="0" customWidth="1"/>
    <x:col min="8" max="8" width="16" hidden="0" customWidth="1"/>
    <x:col min="9" max="9" width="12" hidden="0" customWidth="1"/>
    <x:col min="10" max="10" width="18" hidden="0" customWidth="1"/>
    <x:col min="11" max="11" width="12" hidden="0" customWidth="1"/>
  </x:cols>
  <x:sheetData>
    <x:row r="1">
      <x:c r="A1" s="72" t="str">
        <x:v>Controlled lists for data validation</x:v>
      </x:c>
      <x:c r="B1" s="72"/>
      <x:c r="C1" s="72"/>
      <x:c r="D1" s="72"/>
      <x:c r="E1" s="72"/>
      <x:c r="F1" s="72"/>
      <x:c r="G1" s="72"/>
      <x:c r="H1" s="72"/>
      <x:c r="I1" s="72"/>
      <x:c r="J1" s="72"/>
      <x:c r="K1" s="72"/>
    </x:row>
    <x:row r="2">
      <x:c r="A2"/>
      <x:c r="B2"/>
      <x:c r="C2"/>
      <x:c r="D2"/>
      <x:c r="E2"/>
      <x:c r="F2"/>
      <x:c r="G2"/>
      <x:c r="H2"/>
      <x:c r="I2"/>
      <x:c r="J2"/>
      <x:c r="K2"/>
    </x:row>
    <x:row r="3">
      <x:c r="A3" s="78" t="str">
        <x:v>Screening Decision</x:v>
      </x:c>
      <x:c r="B3" s="78" t="str">
        <x:v>Download Status</x:v>
      </x:c>
      <x:c r="C3" s="78" t="str">
        <x:v>Publication Type</x:v>
      </x:c>
      <x:c r="D3" s="78" t="str">
        <x:v>Evidence Group</x:v>
      </x:c>
      <x:c r="E3" s="78" t="str">
        <x:v>Memory Form</x:v>
      </x:c>
      <x:c r="F3" s="78" t="str">
        <x:v>Agent Setting</x:v>
      </x:c>
      <x:c r="G3" s="78" t="str">
        <x:v>Lifecycle Phase</x:v>
      </x:c>
      <x:c r="H3" s="78" t="str">
        <x:v>Yes/No/Partial</x:v>
      </x:c>
      <x:c r="I3" s="78" t="str">
        <x:v>QA Score</x:v>
      </x:c>
      <x:c r="J3" s="78" t="str">
        <x:v>Extraction Status</x:v>
      </x:c>
      <x:c r="K3" s="78" t="str">
        <x:v>Priority</x:v>
      </x:c>
    </x:row>
    <x:row r="4">
      <x:c r="A4" t="str">
        <x:v>Pending</x:v>
      </x:c>
      <x:c r="B4" t="str">
        <x:v>Not downloaded</x:v>
      </x:c>
      <x:c r="C4" t="str">
        <x:v>Peer-reviewed</x:v>
      </x:c>
      <x:c r="D4" t="str">
        <x:v>Attack</x:v>
      </x:c>
      <x:c r="E4" t="str">
        <x:v>Semantic</x:v>
      </x:c>
      <x:c r="F4" t="str">
        <x:v>Conversational</x:v>
      </x:c>
      <x:c r="G4" t="str">
        <x:v>Acquire</x:v>
      </x:c>
      <x:c r="H4" t="str">
        <x:v>Yes</x:v>
      </x:c>
      <x:c r="I4" t="n">
        <x:v>0</x:v>
      </x:c>
      <x:c r="J4" t="str">
        <x:v>Not started</x:v>
      </x:c>
      <x:c r="K4" t="str">
        <x:v>High</x:v>
      </x:c>
    </x:row>
    <x:row r="5">
      <x:c r="A5" t="str">
        <x:v>Include</x:v>
      </x:c>
      <x:c r="B5" t="str">
        <x:v>Downloaded</x:v>
      </x:c>
      <x:c r="C5" t="str">
        <x:v>Preprint</x:v>
      </x:c>
      <x:c r="D5" t="str">
        <x:v>Defense</x:v>
      </x:c>
      <x:c r="E5" t="str">
        <x:v>Episodic</x:v>
      </x:c>
      <x:c r="F5" t="str">
        <x:v>Web agent</x:v>
      </x:c>
      <x:c r="G5" t="str">
        <x:v>Write</x:v>
      </x:c>
      <x:c r="H5" t="str">
        <x:v>No</x:v>
      </x:c>
      <x:c r="I5" t="n">
        <x:v>1</x:v>
      </x:c>
      <x:c r="J5" t="str">
        <x:v>In progress</x:v>
      </x:c>
      <x:c r="K5" t="str">
        <x:v>Medium</x:v>
      </x:c>
    </x:row>
    <x:row r="6">
      <x:c r="A6" t="str">
        <x:v>Exclude</x:v>
      </x:c>
      <x:c r="B6" t="str">
        <x:v>PDF unavailable</x:v>
      </x:c>
      <x:c r="C6" t="str">
        <x:v>Survey</x:v>
      </x:c>
      <x:c r="D6" t="str">
        <x:v>Benchmark</x:v>
      </x:c>
      <x:c r="E6" t="str">
        <x:v>Procedural</x:v>
      </x:c>
      <x:c r="F6" t="str">
        <x:v>Tool-using</x:v>
      </x:c>
      <x:c r="G6" t="str">
        <x:v>Store</x:v>
      </x:c>
      <x:c r="H6" t="str">
        <x:v>Partial</x:v>
      </x:c>
      <x:c r="I6" t="n">
        <x:v>2</x:v>
      </x:c>
      <x:c r="J6" t="str">
        <x:v>Complete</x:v>
      </x:c>
      <x:c r="K6" t="str">
        <x:v>Low</x:v>
      </x:c>
    </x:row>
    <x:row r="7">
      <x:c r="A7" t="str">
        <x:v>Conflict</x:v>
      </x:c>
      <x:c r="B7" t="str">
        <x:v>Duplicate</x:v>
      </x:c>
      <x:c r="C7" t="str">
        <x:v>Standard/Reg</x:v>
      </x:c>
      <x:c r="D7" t="str">
        <x:v>Provenance/System</x:v>
      </x:c>
      <x:c r="E7" t="str">
        <x:v>Profile</x:v>
      </x:c>
      <x:c r="F7" t="str">
        <x:v>Multi-agent</x:v>
      </x:c>
      <x:c r="G7" t="str">
        <x:v>Retrieve</x:v>
      </x:c>
      <x:c r="H7" t="str"/>
      <x:c r="I7" t="str">
        <x:v>Needs verification</x:v>
      </x:c>
      <x:c r="J7" t="str">
        <x:v>Verified</x:v>
      </x:c>
      <x:c r="K7" t="str"/>
    </x:row>
    <x:row r="8">
      <x:c r="A8" t="str">
        <x:v>Maybe</x:v>
      </x:c>
      <x:c r="B8" t="str">
        <x:v>Not required</x:v>
      </x:c>
      <x:c r="C8" t="str">
        <x:v>Foundation</x:v>
      </x:c>
      <x:c r="D8" t="str">
        <x:v>Survey</x:v>
      </x:c>
      <x:c r="E8" t="str">
        <x:v>Tool memory</x:v>
      </x:c>
      <x:c r="F8" t="str">
        <x:v>Coding agent</x:v>
      </x:c>
      <x:c r="G8" t="str">
        <x:v>Execute</x:v>
      </x:c>
      <x:c r="H8" t="str"/>
      <x:c r="I8" t="str"/>
      <x:c r="J8" t="str"/>
      <x:c r="K8" t="str"/>
    </x:row>
    <x:row r="9">
      <x:c r="A9" t="str"/>
      <x:c r="B9" t="str"/>
      <x:c r="C9" t="str"/>
      <x:c r="D9" t="str">
        <x:v>Foundation</x:v>
      </x:c>
      <x:c r="E9" t="str">
        <x:v>Shared memory</x:v>
      </x:c>
      <x:c r="F9" t="str">
        <x:v>Research agent</x:v>
      </x:c>
      <x:c r="G9" t="str">
        <x:v>Share</x:v>
      </x:c>
      <x:c r="H9" t="str"/>
      <x:c r="I9" t="str"/>
      <x:c r="J9" t="str"/>
      <x:c r="K9" t="str"/>
    </x:row>
    <x:row r="10">
      <x:c r="A10" t="str"/>
      <x:c r="B10" t="str"/>
      <x:c r="C10" t="str"/>
      <x:c r="D10" t="str"/>
      <x:c r="E10" t="str">
        <x:v>Hybrid/Other</x:v>
      </x:c>
      <x:c r="F10" t="str">
        <x:v>Enterprise assistant</x:v>
      </x:c>
      <x:c r="G10" t="str">
        <x:v>Forget/Recover</x:v>
      </x:c>
      <x:c r="H10" t="str"/>
      <x:c r="I10" t="str"/>
      <x:c r="J10" t="str"/>
      <x:c r="K10" t="str"/>
    </x:row>
  </x:sheetData>
  <x:mergeCells>
    <x:mergeCell ref="A1:K1"/>
  </x:mergeCells>
  <x:pageMargins left="0.7" right="0.7" top="0.75" bottom="0.75" header="0.3" footer="0.3"/>
</x:worksheet>
</file>

<file path=xl/worksheets/sheet9.xml><?xml version="1.0" encoding="utf-8"?>
<x:worksheet xmlns:x="http://schemas.openxmlformats.org/spreadsheetml/2006/main">
  <x:sheetFormatPr defaultRowHeight="15"/>
  <x:cols>
    <x:col min="1" max="1" width="9" hidden="0" customWidth="1"/>
    <x:col min="2" max="2" width="34" hidden="0" customWidth="1"/>
    <x:col min="3" max="3" width="14" hidden="0" customWidth="1"/>
    <x:col min="4" max="4" width="8" hidden="0" customWidth="1"/>
    <x:col min="5" max="5" width="15" hidden="0" customWidth="1"/>
    <x:col min="6" max="6" width="20" hidden="0" customWidth="1"/>
    <x:col min="7" max="7" width="18" hidden="0" customWidth="1"/>
    <x:col min="8" max="8" width="18" hidden="0" customWidth="1"/>
    <x:col min="9" max="9" width="14" hidden="0" customWidth="1"/>
    <x:col min="10" max="10" width="14" hidden="0" customWidth="1"/>
    <x:col min="11" max="11" width="13" hidden="0" customWidth="1"/>
    <x:col min="12" max="12" width="26" hidden="0" customWidth="1"/>
    <x:col min="13" max="13" width="18" hidden="0" customWidth="1"/>
    <x:col min="14" max="14" width="28" hidden="0" customWidth="1"/>
    <x:col min="15" max="15" width="13" hidden="0" customWidth="1"/>
    <x:col min="16" max="16" width="13" hidden="0" customWidth="1"/>
    <x:col min="17" max="17" width="13" hidden="0" customWidth="1"/>
    <x:col min="18" max="18" width="28" hidden="0" customWidth="1"/>
    <x:col min="19" max="19" width="10" hidden="0" customWidth="1"/>
    <x:col min="20" max="20" width="32" hidden="0" customWidth="1"/>
  </x:cols>
  <x:sheetData>
    <x:row r="1">
      <x:c r="A1" s="83" t="str">
        <x:v>Study Selection and Download Tracker</x:v>
      </x:c>
      <x:c r="B1" s="83"/>
      <x:c r="C1" s="83"/>
      <x:c r="D1" s="83"/>
      <x:c r="E1" s="83"/>
      <x:c r="F1" s="83"/>
      <x:c r="G1" s="83"/>
      <x:c r="H1" s="83"/>
      <x:c r="I1" s="83"/>
      <x:c r="J1" s="83"/>
      <x:c r="K1" s="83"/>
      <x:c r="L1" s="83"/>
      <x:c r="M1" s="83"/>
      <x:c r="N1" s="83"/>
      <x:c r="O1" s="83"/>
      <x:c r="P1" s="83"/>
      <x:c r="Q1" s="83"/>
      <x:c r="R1" s="83"/>
      <x:c r="S1" s="83"/>
      <x:c r="T1" s="83"/>
    </x:row>
    <x:row r="2">
      <x:c r="A2" s="88" t="str">
        <x:v>Use this sheet from title/abstract screening through PDF download and final inclusion. Do not delete excluded studies; record the reason.</x:v>
      </x:c>
      <x:c r="B2" s="88"/>
      <x:c r="C2" s="88"/>
      <x:c r="D2" s="88"/>
      <x:c r="E2" s="88"/>
      <x:c r="F2" s="88"/>
      <x:c r="G2" s="88"/>
      <x:c r="H2" s="88"/>
      <x:c r="I2" s="88"/>
      <x:c r="J2" s="88"/>
      <x:c r="K2" s="88"/>
      <x:c r="L2" s="88"/>
      <x:c r="M2" s="88"/>
      <x:c r="N2" s="88"/>
      <x:c r="O2" s="88"/>
      <x:c r="P2" s="88"/>
      <x:c r="Q2" s="88"/>
      <x:c r="R2" s="88"/>
      <x:c r="S2" s="88"/>
      <x:c r="T2" s="88"/>
    </x:row>
    <x:row r="4">
      <x:c r="A4" s="93" t="str">
        <x:v>Study ID</x:v>
      </x:c>
      <x:c r="B4" s="93" t="str">
        <x:v>Short title / method</x:v>
      </x:c>
      <x:c r="C4" s="93" t="str">
        <x:v>First author</x:v>
      </x:c>
      <x:c r="D4" s="93" t="str">
        <x:v>Year</x:v>
      </x:c>
      <x:c r="E4" s="93" t="str">
        <x:v>Publication status</x:v>
      </x:c>
      <x:c r="F4" s="93" t="str">
        <x:v>Venue</x:v>
      </x:c>
      <x:c r="G4" s="93" t="str">
        <x:v>Identifier / DOI</x:v>
      </x:c>
      <x:c r="H4" s="93" t="str">
        <x:v>Evidence type</x:v>
      </x:c>
      <x:c r="I4" s="93" t="str">
        <x:v>Title/Abstract R1</x:v>
      </x:c>
      <x:c r="J4" s="93" t="str">
        <x:v>Title/Abstract R2</x:v>
      </x:c>
      <x:c r="K4" s="93" t="str">
        <x:v>T/A consensus</x:v>
      </x:c>
      <x:c r="L4" s="93" t="str">
        <x:v>T/A exclusion reason</x:v>
      </x:c>
      <x:c r="M4" s="93" t="str">
        <x:v>PDF download status</x:v>
      </x:c>
      <x:c r="N4" s="93" t="str">
        <x:v>PDF filename / local path</x:v>
      </x:c>
      <x:c r="O4" s="93" t="str">
        <x:v>Full-text R1</x:v>
      </x:c>
      <x:c r="P4" s="93" t="str">
        <x:v>Full-text R2</x:v>
      </x:c>
      <x:c r="Q4" s="93" t="str">
        <x:v>Final decision</x:v>
      </x:c>
      <x:c r="R4" s="93" t="str">
        <x:v>Full-text exclusion reason</x:v>
      </x:c>
      <x:c r="S4" s="93" t="str">
        <x:v>Priority</x:v>
      </x:c>
      <x:c r="T4" s="93" t="str">
        <x:v>Reviewer notes</x:v>
      </x:c>
    </x:row>
    <x:row r="5">
      <x:c r="A5" s="96" t="n">
        <x:v>1</x:v>
      </x:c>
      <x:c r="B5" s="96" t="str">
        <x:v>Lin et al. — LTM Security across Lifecycle (Mnemonic Sovereignty)</x:v>
      </x:c>
      <x:c r="C5" s="96" t="str">
        <x:v>Lin</x:v>
      </x:c>
      <x:c r="D5" s="96" t="n">
        <x:v>2026</x:v>
      </x:c>
      <x:c r="E5" s="96" t="str">
        <x:v>Preprint</x:v>
      </x:c>
      <x:c r="F5" s="96" t="str">
        <x:v>arXiv</x:v>
      </x:c>
      <x:c r="G5" s="96" t="str">
        <x:v>2604.16548</x:v>
      </x:c>
      <x:c r="H5" s="96" t="str">
        <x:v>Survey</x:v>
      </x:c>
      <x:c r="I5" s="96" t="str">
        <x:v>Pending</x:v>
      </x:c>
      <x:c r="J5" s="96" t="str">
        <x:v>Pending</x:v>
      </x:c>
      <x:c r="K5" s="96" t="str">
        <x:f>IF(OR(I5="",J5=""),"Pending",IF(I5=J5,I5,"Conflict"))</x:f>
        <x:v>Pending</x:v>
      </x:c>
      <x:c r="L5" s="96" t="str"/>
      <x:c r="M5" s="96" t="str">
        <x:v>Downloaded</x:v>
      </x:c>
      <x:c r="N5" s="96" t="str">
        <x:v>2604.16548v2 (1).pdf</x:v>
      </x:c>
      <x:c r="O5" s="96" t="str">
        <x:v>Pending</x:v>
      </x:c>
      <x:c r="P5" s="96" t="str">
        <x:v>Pending</x:v>
      </x:c>
      <x:c r="Q5" s="96" t="str">
        <x:v>Pending</x:v>
      </x:c>
      <x:c r="R5" s="96" t="str"/>
      <x:c r="S5" s="96" t="str">
        <x:v>High</x:v>
      </x:c>
      <x:c r="T5" s="96" t="str"/>
    </x:row>
    <x:row r="6">
      <x:c r="A6" s="96" t="n">
        <x:v>2</x:v>
      </x:c>
      <x:c r="B6" s="96" t="str">
        <x:v>From Agent Traces to Trust — Evidence Tracing &amp; Execution Provenance</x:v>
      </x:c>
      <x:c r="C6" s="96" t="str">
        <x:v>Wang</x:v>
      </x:c>
      <x:c r="D6" s="96" t="n">
        <x:v>2026</x:v>
      </x:c>
      <x:c r="E6" s="96" t="str">
        <x:v>Preprint</x:v>
      </x:c>
      <x:c r="F6" s="96" t="str">
        <x:v>arXiv/OpenReview</x:v>
      </x:c>
      <x:c r="G6" s="96" t="str">
        <x:v>2606.04990</x:v>
      </x:c>
      <x:c r="H6" s="96" t="str">
        <x:v>Survey</x:v>
      </x:c>
      <x:c r="I6" s="96" t="str">
        <x:v>Pending</x:v>
      </x:c>
      <x:c r="J6" s="96" t="str">
        <x:v>Pending</x:v>
      </x:c>
      <x:c r="K6" s="96" t="str">
        <x:f>IF(OR(I6="",J6=""),"Pending",IF(I6=J6,I6,"Conflict"))</x:f>
        <x:v>Pending</x:v>
      </x:c>
      <x:c r="L6" s="96" t="str"/>
      <x:c r="M6" s="96" t="str">
        <x:v>Downloaded</x:v>
      </x:c>
      <x:c r="N6" s="96" t="str">
        <x:v>2606.04990v4.pdf</x:v>
      </x:c>
      <x:c r="O6" s="96" t="str">
        <x:v>Pending</x:v>
      </x:c>
      <x:c r="P6" s="96" t="str">
        <x:v>Pending</x:v>
      </x:c>
      <x:c r="Q6" s="96" t="str">
        <x:v>Pending</x:v>
      </x:c>
      <x:c r="R6" s="96" t="str"/>
      <x:c r="S6" s="96" t="str">
        <x:v>High</x:v>
      </x:c>
      <x:c r="T6" s="96" t="str"/>
    </x:row>
    <x:row r="7">
      <x:c r="A7" s="96" t="n">
        <x:v>3</x:v>
      </x:c>
      <x:c r="B7" s="96" t="str">
        <x:v>Always-On Agents — Persistent Memory, State &amp; Governance</x:v>
      </x:c>
      <x:c r="C7" s="96" t="str">
        <x:v>(Always-On)</x:v>
      </x:c>
      <x:c r="D7" s="96" t="n">
        <x:v>2026</x:v>
      </x:c>
      <x:c r="E7" s="96" t="str">
        <x:v>Preprint</x:v>
      </x:c>
      <x:c r="F7" s="96" t="str">
        <x:v>arXiv</x:v>
      </x:c>
      <x:c r="G7" s="96" t="str">
        <x:v>2606.30306</x:v>
      </x:c>
      <x:c r="H7" s="96" t="str">
        <x:v>Survey</x:v>
      </x:c>
      <x:c r="I7" s="96" t="str">
        <x:v>Pending</x:v>
      </x:c>
      <x:c r="J7" s="96" t="str">
        <x:v>Pending</x:v>
      </x:c>
      <x:c r="K7" s="96" t="str">
        <x:f>IF(OR(I7="",J7=""),"Pending",IF(I7=J7,I7,"Conflict"))</x:f>
        <x:v>Pending</x:v>
      </x:c>
      <x:c r="L7" s="96" t="str"/>
      <x:c r="M7" s="96" t="str">
        <x:v>Downloaded</x:v>
      </x:c>
      <x:c r="N7" s="96" t="str">
        <x:v>2606.30306v1.pdf</x:v>
      </x:c>
      <x:c r="O7" s="96" t="str">
        <x:v>Pending</x:v>
      </x:c>
      <x:c r="P7" s="96" t="str">
        <x:v>Pending</x:v>
      </x:c>
      <x:c r="Q7" s="96" t="str">
        <x:v>Pending</x:v>
      </x:c>
      <x:c r="R7" s="96" t="str"/>
      <x:c r="S7" s="96" t="str">
        <x:v>High</x:v>
      </x:c>
      <x:c r="T7" s="96" t="str"/>
    </x:row>
    <x:row r="8">
      <x:c r="A8" s="96" t="n">
        <x:v>4</x:v>
      </x:c>
      <x:c r="B8" s="96" t="str">
        <x:v>Memory in the Age of AI Agents</x:v>
      </x:c>
      <x:c r="C8" s="96" t="str">
        <x:v>Hu</x:v>
      </x:c>
      <x:c r="D8" s="96" t="n">
        <x:v>2025</x:v>
      </x:c>
      <x:c r="E8" s="96" t="str">
        <x:v>Preprint</x:v>
      </x:c>
      <x:c r="F8" s="96" t="str">
        <x:v>arXiv</x:v>
      </x:c>
      <x:c r="G8" s="96" t="str">
        <x:v>2512.13564</x:v>
      </x:c>
      <x:c r="H8" s="96" t="str">
        <x:v>Survey</x:v>
      </x:c>
      <x:c r="I8" s="96" t="str">
        <x:v>Pending</x:v>
      </x:c>
      <x:c r="J8" s="96" t="str">
        <x:v>Pending</x:v>
      </x:c>
      <x:c r="K8" s="96" t="str">
        <x:f>IF(OR(I8="",J8=""),"Pending",IF(I8=J8,I8,"Conflict"))</x:f>
        <x:v>Pending</x:v>
      </x:c>
      <x:c r="L8" s="96" t="str"/>
      <x:c r="M8" s="96" t="str">
        <x:v>Downloaded</x:v>
      </x:c>
      <x:c r="N8" s="96" t="str">
        <x:v>2512.13564v2.pdf</x:v>
      </x:c>
      <x:c r="O8" s="96" t="str">
        <x:v>Pending</x:v>
      </x:c>
      <x:c r="P8" s="96" t="str">
        <x:v>Pending</x:v>
      </x:c>
      <x:c r="Q8" s="96" t="str">
        <x:v>Pending</x:v>
      </x:c>
      <x:c r="R8" s="96" t="str"/>
      <x:c r="S8" s="96" t="str">
        <x:v>High</x:v>
      </x:c>
      <x:c r="T8" s="96" t="str"/>
    </x:row>
    <x:row r="9">
      <x:c r="A9" s="96" t="n">
        <x:v>5</x:v>
      </x:c>
      <x:c r="B9" s="96" t="str">
        <x:v>Survey on Memory Mechanism of LLM-based Agents</x:v>
      </x:c>
      <x:c r="C9" s="96" t="str">
        <x:v>Zhang</x:v>
      </x:c>
      <x:c r="D9" s="96" t="n">
        <x:v>2025</x:v>
      </x:c>
      <x:c r="E9" s="96" t="str">
        <x:v>Peer-reviewed</x:v>
      </x:c>
      <x:c r="F9" s="96" t="str">
        <x:v>ACM TOIS 43(6)</x:v>
      </x:c>
      <x:c r="G9" s="96" t="str">
        <x:v>10.1145/3661638</x:v>
      </x:c>
      <x:c r="H9" s="96" t="str">
        <x:v>Survey</x:v>
      </x:c>
      <x:c r="I9" s="96" t="str">
        <x:v>Pending</x:v>
      </x:c>
      <x:c r="J9" s="96" t="str">
        <x:v>Pending</x:v>
      </x:c>
      <x:c r="K9" s="96" t="str">
        <x:f>IF(OR(I9="",J9=""),"Pending",IF(I9=J9,I9,"Conflict"))</x:f>
        <x:v>Pending</x:v>
      </x:c>
      <x:c r="L9" s="96" t="str"/>
      <x:c r="M9" s="96" t="str">
        <x:v>Downloaded</x:v>
      </x:c>
      <x:c r="N9" s="96" t="str">
        <x:v>2404.13501v1.pdf</x:v>
      </x:c>
      <x:c r="O9" s="96" t="str">
        <x:v>Pending</x:v>
      </x:c>
      <x:c r="P9" s="96" t="str">
        <x:v>Pending</x:v>
      </x:c>
      <x:c r="Q9" s="96" t="str">
        <x:v>Pending</x:v>
      </x:c>
      <x:c r="R9" s="96" t="str"/>
      <x:c r="S9" s="96" t="str">
        <x:v>High</x:v>
      </x:c>
      <x:c r="T9" s="96" t="str"/>
    </x:row>
    <x:row r="10">
      <x:c r="A10" s="96" t="n">
        <x:v>6</x:v>
      </x:c>
      <x:c r="B10" s="96" t="str">
        <x:v>Towards Secure RAG — Threats, Defenses, Benchmarks</x:v>
      </x:c>
      <x:c r="C10" s="96" t="str">
        <x:v>Mu</x:v>
      </x:c>
      <x:c r="D10" s="96" t="n">
        <x:v>2026</x:v>
      </x:c>
      <x:c r="E10" s="96" t="str">
        <x:v>Preprint</x:v>
      </x:c>
      <x:c r="F10" s="96" t="str">
        <x:v>arXiv</x:v>
      </x:c>
      <x:c r="G10" s="96" t="str">
        <x:v>2603.21654</x:v>
      </x:c>
      <x:c r="H10" s="96" t="str">
        <x:v>Survey</x:v>
      </x:c>
      <x:c r="I10" s="96" t="str">
        <x:v>Pending</x:v>
      </x:c>
      <x:c r="J10" s="96" t="str">
        <x:v>Pending</x:v>
      </x:c>
      <x:c r="K10" s="96" t="str">
        <x:f>IF(OR(I10="",J10=""),"Pending",IF(I10=J10,I10,"Conflict"))</x:f>
        <x:v>Pending</x:v>
      </x:c>
      <x:c r="L10" s="96" t="str"/>
      <x:c r="M10" s="96" t="str">
        <x:v>Downloaded</x:v>
      </x:c>
      <x:c r="N10" s="96" t="str">
        <x:v>2603.21654v1.pdf</x:v>
      </x:c>
      <x:c r="O10" s="96" t="str">
        <x:v>Pending</x:v>
      </x:c>
      <x:c r="P10" s="96" t="str">
        <x:v>Pending</x:v>
      </x:c>
      <x:c r="Q10" s="96" t="str">
        <x:v>Pending</x:v>
      </x:c>
      <x:c r="R10" s="96" t="str"/>
      <x:c r="S10" s="96" t="str">
        <x:v>High</x:v>
      </x:c>
      <x:c r="T10" s="96" t="str"/>
    </x:row>
    <x:row r="11">
      <x:c r="A11" s="96" t="n">
        <x:v>7</x:v>
      </x:c>
      <x:c r="B11" s="96" t="str">
        <x:v>Security of LLM-based Agents (Attacks/Defenses/Applications)</x:v>
      </x:c>
      <x:c r="C11" s="96" t="str">
        <x:v>Tang</x:v>
      </x:c>
      <x:c r="D11" s="96" t="n">
        <x:v>2026</x:v>
      </x:c>
      <x:c r="E11" s="96" t="str">
        <x:v>Peer-reviewed</x:v>
      </x:c>
      <x:c r="F11" s="96" t="str">
        <x:v>Information Fusion 127:103941</x:v>
      </x:c>
      <x:c r="G11" s="96" t="str">
        <x:v>10.1016/j.inffus.2025.103941</x:v>
      </x:c>
      <x:c r="H11" s="96" t="str">
        <x:v>Survey</x:v>
      </x:c>
      <x:c r="I11" s="96" t="str">
        <x:v>Pending</x:v>
      </x:c>
      <x:c r="J11" s="96" t="str">
        <x:v>Pending</x:v>
      </x:c>
      <x:c r="K11" s="96" t="str">
        <x:f>IF(OR(I11="",J11=""),"Pending",IF(I11=J11,I11,"Conflict"))</x:f>
        <x:v>Pending</x:v>
      </x:c>
      <x:c r="L11" s="96" t="str"/>
      <x:c r="M11" s="96" t="str">
        <x:v>Downloaded</x:v>
      </x:c>
      <x:c r="N11" s="96" t="str">
        <x:v>1-s2.0-S1566253525010036-main.pdf</x:v>
      </x:c>
      <x:c r="O11" s="96" t="str">
        <x:v>Pending</x:v>
      </x:c>
      <x:c r="P11" s="96" t="str">
        <x:v>Pending</x:v>
      </x:c>
      <x:c r="Q11" s="96" t="str">
        <x:v>Pending</x:v>
      </x:c>
      <x:c r="R11" s="96" t="str"/>
      <x:c r="S11" s="96" t="str">
        <x:v>High</x:v>
      </x:c>
      <x:c r="T11" s="96" t="str"/>
    </x:row>
    <x:row r="12">
      <x:c r="A12" s="96" t="n">
        <x:v>8</x:v>
      </x:c>
      <x:c r="B12" s="96" t="str">
        <x:v>AI Meets Brain — Memory Systems Neuroscience to Agents</x:v>
      </x:c>
      <x:c r="C12" s="96" t="str">
        <x:v>Liang</x:v>
      </x:c>
      <x:c r="D12" s="96" t="n">
        <x:v>2025</x:v>
      </x:c>
      <x:c r="E12" s="96" t="str">
        <x:v>Preprint</x:v>
      </x:c>
      <x:c r="F12" s="96" t="str">
        <x:v>arXiv</x:v>
      </x:c>
      <x:c r="G12" s="96" t="str">
        <x:v>2512.23343</x:v>
      </x:c>
      <x:c r="H12" s="96" t="str">
        <x:v>Survey</x:v>
      </x:c>
      <x:c r="I12" s="96" t="str">
        <x:v>Pending</x:v>
      </x:c>
      <x:c r="J12" s="96" t="str">
        <x:v>Pending</x:v>
      </x:c>
      <x:c r="K12" s="96" t="str">
        <x:f>IF(OR(I12="",J12=""),"Pending",IF(I12=J12,I12,"Conflict"))</x:f>
        <x:v>Pending</x:v>
      </x:c>
      <x:c r="L12" s="96" t="str"/>
      <x:c r="M12" s="96" t="str">
        <x:v>Downloaded</x:v>
      </x:c>
      <x:c r="N12" s="96" t="str">
        <x:v>2512.23343v1.pdf</x:v>
      </x:c>
      <x:c r="O12" s="96" t="str">
        <x:v>Pending</x:v>
      </x:c>
      <x:c r="P12" s="96" t="str">
        <x:v>Pending</x:v>
      </x:c>
      <x:c r="Q12" s="96" t="str">
        <x:v>Pending</x:v>
      </x:c>
      <x:c r="R12" s="96" t="str"/>
      <x:c r="S12" s="96" t="str">
        <x:v>Low</x:v>
      </x:c>
      <x:c r="T12" s="96" t="str"/>
    </x:row>
    <x:row r="13">
      <x:c r="A13" s="96" t="n">
        <x:v>9</x:v>
      </x:c>
      <x:c r="B13" s="96" t="str">
        <x:v>From Storage to Experience — Evolution of Agent Memory</x:v>
      </x:c>
      <x:c r="C13" s="96" t="str">
        <x:v>Luo</x:v>
      </x:c>
      <x:c r="D13" s="96" t="n">
        <x:v>2026</x:v>
      </x:c>
      <x:c r="E13" s="96" t="str">
        <x:v>Preprint</x:v>
      </x:c>
      <x:c r="F13" s="96" t="str">
        <x:v>Preprints.org</x:v>
      </x:c>
      <x:c r="G13" s="96" t="str">
        <x:v>202601.0618</x:v>
      </x:c>
      <x:c r="H13" s="96" t="str">
        <x:v>Survey</x:v>
      </x:c>
      <x:c r="I13" s="96" t="str">
        <x:v>Pending</x:v>
      </x:c>
      <x:c r="J13" s="96" t="str">
        <x:v>Pending</x:v>
      </x:c>
      <x:c r="K13" s="96" t="str">
        <x:f>IF(OR(I13="",J13=""),"Pending",IF(I13=J13,I13,"Conflict"))</x:f>
        <x:v>Pending</x:v>
      </x:c>
      <x:c r="L13" s="96" t="str"/>
      <x:c r="M13" s="96" t="str">
        <x:v>Downloaded</x:v>
      </x:c>
      <x:c r="N13" s="96" t="str">
        <x:v>2605.06716v1.pdf</x:v>
      </x:c>
      <x:c r="O13" s="96" t="str">
        <x:v>Pending</x:v>
      </x:c>
      <x:c r="P13" s="96" t="str">
        <x:v>Pending</x:v>
      </x:c>
      <x:c r="Q13" s="96" t="str">
        <x:v>Pending</x:v>
      </x:c>
      <x:c r="R13" s="96" t="str"/>
      <x:c r="S13" s="96" t="str">
        <x:v>Low</x:v>
      </x:c>
      <x:c r="T13" s="96" t="str"/>
    </x:row>
    <x:row r="14">
      <x:c r="A14" s="96" t="n">
        <x:v>10</x:v>
      </x:c>
      <x:c r="B14" s="96" t="str">
        <x:v>AgentPoison — poisoning memory/KB</x:v>
      </x:c>
      <x:c r="C14" s="96" t="str">
        <x:v>Chen</x:v>
      </x:c>
      <x:c r="D14" s="96" t="n">
        <x:v>2024</x:v>
      </x:c>
      <x:c r="E14" s="96" t="str">
        <x:v>Peer-reviewed</x:v>
      </x:c>
      <x:c r="F14" s="96" t="str">
        <x:v>NeurIPS 2024</x:v>
      </x:c>
      <x:c r="G14" s="96" t="str">
        <x:v>2407.12784</x:v>
      </x:c>
      <x:c r="H14" s="96" t="str">
        <x:v>Attack</x:v>
      </x:c>
      <x:c r="I14" s="96" t="str">
        <x:v>Pending</x:v>
      </x:c>
      <x:c r="J14" s="96" t="str">
        <x:v>Pending</x:v>
      </x:c>
      <x:c r="K14" s="96" t="str">
        <x:f>IF(OR(I14="",J14=""),"Pending",IF(I14=J14,I14,"Conflict"))</x:f>
        <x:v>Pending</x:v>
      </x:c>
      <x:c r="L14" s="96" t="str"/>
      <x:c r="M14" s="96" t="str">
        <x:v>Downloaded</x:v>
      </x:c>
      <x:c r="N14" s="96" t="str">
        <x:v>NeurIPS-2024-agentpoison-red-teaming-llm-agents-via-poisoning-memory-or-knowledge-bases-Paper-Conference.pdf</x:v>
      </x:c>
      <x:c r="O14" s="96" t="str">
        <x:v>Pending</x:v>
      </x:c>
      <x:c r="P14" s="96" t="str">
        <x:v>Pending</x:v>
      </x:c>
      <x:c r="Q14" s="96" t="str">
        <x:v>Pending</x:v>
      </x:c>
      <x:c r="R14" s="96" t="str"/>
      <x:c r="S14" s="96" t="str">
        <x:v>High</x:v>
      </x:c>
      <x:c r="T14" s="96" t="str"/>
    </x:row>
    <x:row r="15">
      <x:c r="A15" s="96" t="n">
        <x:v>11</x:v>
      </x:c>
      <x:c r="B15" s="96" t="str">
        <x:v>MINJA — memory injection, query-only</x:v>
      </x:c>
      <x:c r="C15" s="96" t="str">
        <x:v>Dong</x:v>
      </x:c>
      <x:c r="D15" s="96" t="n">
        <x:v>2025</x:v>
      </x:c>
      <x:c r="E15" s="96" t="str">
        <x:v>Peer-reviewed</x:v>
      </x:c>
      <x:c r="F15" s="96" t="str">
        <x:v>NeurIPS 2025</x:v>
      </x:c>
      <x:c r="G15" s="96" t="str">
        <x:v>2503.03704</x:v>
      </x:c>
      <x:c r="H15" s="96" t="str">
        <x:v>Attack</x:v>
      </x:c>
      <x:c r="I15" s="96" t="str">
        <x:v>Pending</x:v>
      </x:c>
      <x:c r="J15" s="96" t="str">
        <x:v>Pending</x:v>
      </x:c>
      <x:c r="K15" s="96" t="str">
        <x:f>IF(OR(I15="",J15=""),"Pending",IF(I15=J15,I15,"Conflict"))</x:f>
        <x:v>Pending</x:v>
      </x:c>
      <x:c r="L15" s="96" t="str"/>
      <x:c r="M15" s="96" t="str">
        <x:v>Downloaded</x:v>
      </x:c>
      <x:c r="N15" s="96" t="str">
        <x:v>16400_Memory_Injection_Attacks.pdf</x:v>
      </x:c>
      <x:c r="O15" s="96" t="str">
        <x:v>Pending</x:v>
      </x:c>
      <x:c r="P15" s="96" t="str">
        <x:v>Pending</x:v>
      </x:c>
      <x:c r="Q15" s="96" t="str">
        <x:v>Pending</x:v>
      </x:c>
      <x:c r="R15" s="96" t="str"/>
      <x:c r="S15" s="96" t="str">
        <x:v>High</x:v>
      </x:c>
      <x:c r="T15" s="96" t="str"/>
    </x:row>
    <x:row r="16">
      <x:c r="A16" s="96" t="n">
        <x:v>12</x:v>
      </x:c>
      <x:c r="B16" s="96" t="str">
        <x:v>MEXTRA — Unveiling Privacy Risks in Agent Memory</x:v>
      </x:c>
      <x:c r="C16" s="96" t="str">
        <x:v>Wang</x:v>
      </x:c>
      <x:c r="D16" s="96" t="n">
        <x:v>2025</x:v>
      </x:c>
      <x:c r="E16" s="96" t="str">
        <x:v>Peer-reviewed</x:v>
      </x:c>
      <x:c r="F16" s="96" t="str">
        <x:v>ACL 2025</x:v>
      </x:c>
      <x:c r="G16" s="96" t="str">
        <x:v>2502.13172</x:v>
      </x:c>
      <x:c r="H16" s="96" t="str">
        <x:v>Attack</x:v>
      </x:c>
      <x:c r="I16" s="96" t="str">
        <x:v>Pending</x:v>
      </x:c>
      <x:c r="J16" s="96" t="str">
        <x:v>Pending</x:v>
      </x:c>
      <x:c r="K16" s="96" t="str">
        <x:f>IF(OR(I16="",J16=""),"Pending",IF(I16=J16,I16,"Conflict"))</x:f>
        <x:v>Pending</x:v>
      </x:c>
      <x:c r="L16" s="96" t="str"/>
      <x:c r="M16" s="96" t="str">
        <x:v>Downloaded</x:v>
      </x:c>
      <x:c r="N16" s="96" t="str">
        <x:v>2025.acl-long.1227.pdf</x:v>
      </x:c>
      <x:c r="O16" s="96" t="str">
        <x:v>Pending</x:v>
      </x:c>
      <x:c r="P16" s="96" t="str">
        <x:v>Pending</x:v>
      </x:c>
      <x:c r="Q16" s="96" t="str">
        <x:v>Pending</x:v>
      </x:c>
      <x:c r="R16" s="96" t="str"/>
      <x:c r="S16" s="96" t="str">
        <x:v>High</x:v>
      </x:c>
      <x:c r="T16" s="96" t="str"/>
    </x:row>
    <x:row r="17">
      <x:c r="A17" s="96" t="n">
        <x:v>13</x:v>
      </x:c>
      <x:c r="B17" s="96" t="str">
        <x:v>eTAMP / Poison Once Exploit Forever — env-injected web-agent</x:v>
      </x:c>
      <x:c r="C17" s="96" t="str">
        <x:v>Zou</x:v>
      </x:c>
      <x:c r="D17" s="96" t="n">
        <x:v>2026</x:v>
      </x:c>
      <x:c r="E17" s="96" t="str">
        <x:v>Preprint</x:v>
      </x:c>
      <x:c r="F17" s="96" t="str">
        <x:v>arXiv</x:v>
      </x:c>
      <x:c r="G17" s="96" t="str">
        <x:v>2604.02623</x:v>
      </x:c>
      <x:c r="H17" s="96" t="str">
        <x:v>Attack</x:v>
      </x:c>
      <x:c r="I17" s="96" t="str">
        <x:v>Pending</x:v>
      </x:c>
      <x:c r="J17" s="96" t="str">
        <x:v>Pending</x:v>
      </x:c>
      <x:c r="K17" s="96" t="str">
        <x:f>IF(OR(I17="",J17=""),"Pending",IF(I17=J17,I17,"Conflict"))</x:f>
        <x:v>Pending</x:v>
      </x:c>
      <x:c r="L17" s="96" t="str"/>
      <x:c r="M17" s="96" t="str">
        <x:v>Downloaded</x:v>
      </x:c>
      <x:c r="N17" s="96" t="str">
        <x:v>2604.02623v2.pdf</x:v>
      </x:c>
      <x:c r="O17" s="96" t="str">
        <x:v>Pending</x:v>
      </x:c>
      <x:c r="P17" s="96" t="str">
        <x:v>Pending</x:v>
      </x:c>
      <x:c r="Q17" s="96" t="str">
        <x:v>Pending</x:v>
      </x:c>
      <x:c r="R17" s="96" t="str"/>
      <x:c r="S17" s="96" t="str">
        <x:v>High</x:v>
      </x:c>
      <x:c r="T17" s="96" t="str"/>
    </x:row>
    <x:row r="18">
      <x:c r="A18" s="96" t="n">
        <x:v>14</x:v>
      </x:c>
      <x:c r="B18" s="96" t="str">
        <x:v>InjecMEM — memory injection on memory systems</x:v>
      </x:c>
      <x:c r="C18" s="96" t="str">
        <x:v>Tian</x:v>
      </x:c>
      <x:c r="D18" s="96" t="n">
        <x:v>2026</x:v>
      </x:c>
      <x:c r="E18" s="96" t="str">
        <x:v>Preprint</x:v>
      </x:c>
      <x:c r="F18" s="96" t="str">
        <x:v>OpenReview</x:v>
      </x:c>
      <x:c r="G18" s="96" t="str">
        <x:v>QVX6hcJ2um</x:v>
      </x:c>
      <x:c r="H18" s="96" t="str">
        <x:v>Attack</x:v>
      </x:c>
      <x:c r="I18" s="96" t="str">
        <x:v>Pending</x:v>
      </x:c>
      <x:c r="J18" s="96" t="str">
        <x:v>Pending</x:v>
      </x:c>
      <x:c r="K18" s="96" t="str">
        <x:f>IF(OR(I18="",J18=""),"Pending",IF(I18=J18,I18,"Conflict"))</x:f>
        <x:v>Pending</x:v>
      </x:c>
      <x:c r="L18" s="96" t="str"/>
      <x:c r="M18" s="96" t="str">
        <x:v>Downloaded</x:v>
      </x:c>
      <x:c r="N18" s="96" t="str">
        <x:v>18062_InjecMEM_Memory_Injectio.pdf</x:v>
      </x:c>
      <x:c r="O18" s="96" t="str">
        <x:v>Pending</x:v>
      </x:c>
      <x:c r="P18" s="96" t="str">
        <x:v>Pending</x:v>
      </x:c>
      <x:c r="Q18" s="96" t="str">
        <x:v>Pending</x:v>
      </x:c>
      <x:c r="R18" s="96" t="str"/>
      <x:c r="S18" s="96" t="str">
        <x:v>High</x:v>
      </x:c>
      <x:c r="T18" s="96" t="str"/>
    </x:row>
    <x:row r="19">
      <x:c r="A19" s="96" t="n">
        <x:v>15</x:v>
      </x:c>
      <x:c r="B19" s="96" t="str">
        <x:v>MemoryGraft — poisoned experience retrieval</x:v>
      </x:c>
      <x:c r="C19" s="96" t="str">
        <x:v>Srivastava</x:v>
      </x:c>
      <x:c r="D19" s="96" t="n">
        <x:v>2025</x:v>
      </x:c>
      <x:c r="E19" s="96" t="str">
        <x:v>Preprint</x:v>
      </x:c>
      <x:c r="F19" s="96" t="str">
        <x:v>arXiv</x:v>
      </x:c>
      <x:c r="G19" s="96" t="str">
        <x:v>2512.16962</x:v>
      </x:c>
      <x:c r="H19" s="96" t="str">
        <x:v>Attack</x:v>
      </x:c>
      <x:c r="I19" s="96" t="str">
        <x:v>Pending</x:v>
      </x:c>
      <x:c r="J19" s="96" t="str">
        <x:v>Pending</x:v>
      </x:c>
      <x:c r="K19" s="96" t="str">
        <x:f>IF(OR(I19="",J19=""),"Pending",IF(I19=J19,I19,"Conflict"))</x:f>
        <x:v>Pending</x:v>
      </x:c>
      <x:c r="L19" s="96" t="str"/>
      <x:c r="M19" s="96" t="str">
        <x:v>Downloaded</x:v>
      </x:c>
      <x:c r="N19" s="96" t="str">
        <x:v>2512.16962v1.pdf</x:v>
      </x:c>
      <x:c r="O19" s="96" t="str">
        <x:v>Pending</x:v>
      </x:c>
      <x:c r="P19" s="96" t="str">
        <x:v>Pending</x:v>
      </x:c>
      <x:c r="Q19" s="96" t="str">
        <x:v>Pending</x:v>
      </x:c>
      <x:c r="R19" s="96" t="str"/>
      <x:c r="S19" s="96" t="str">
        <x:v>High</x:v>
      </x:c>
      <x:c r="T19" s="96" t="str"/>
    </x:row>
    <x:row r="20">
      <x:c r="A20" s="96" t="n">
        <x:v>16</x:v>
      </x:c>
      <x:c r="B20" s="96" t="str">
        <x:v>MCFA / From Storage to Steering — memory control-flow</x:v>
      </x:c>
      <x:c r="C20" s="96" t="str">
        <x:v>Xu</x:v>
      </x:c>
      <x:c r="D20" s="96" t="n">
        <x:v>2026</x:v>
      </x:c>
      <x:c r="E20" s="96" t="str">
        <x:v>Preprint</x:v>
      </x:c>
      <x:c r="F20" s="96" t="str">
        <x:v>arXiv</x:v>
      </x:c>
      <x:c r="G20" s="96" t="str">
        <x:v>2603.15125</x:v>
      </x:c>
      <x:c r="H20" s="96" t="str">
        <x:v>Attack</x:v>
      </x:c>
      <x:c r="I20" s="96" t="str">
        <x:v>Pending</x:v>
      </x:c>
      <x:c r="J20" s="96" t="str">
        <x:v>Pending</x:v>
      </x:c>
      <x:c r="K20" s="96" t="str">
        <x:f>IF(OR(I20="",J20=""),"Pending",IF(I20=J20,I20,"Conflict"))</x:f>
        <x:v>Pending</x:v>
      </x:c>
      <x:c r="L20" s="96" t="str"/>
      <x:c r="M20" s="96" t="str">
        <x:v>Downloaded</x:v>
      </x:c>
      <x:c r="N20" s="96" t="str">
        <x:v>2603.15125v3.pdf</x:v>
      </x:c>
      <x:c r="O20" s="96" t="str">
        <x:v>Pending</x:v>
      </x:c>
      <x:c r="P20" s="96" t="str">
        <x:v>Pending</x:v>
      </x:c>
      <x:c r="Q20" s="96" t="str">
        <x:v>Pending</x:v>
      </x:c>
      <x:c r="R20" s="96" t="str"/>
      <x:c r="S20" s="96" t="str">
        <x:v>High</x:v>
      </x:c>
      <x:c r="T20" s="96" t="str"/>
    </x:row>
    <x:row r="21">
      <x:c r="A21" s="96" t="n">
        <x:v>17</x:v>
      </x:c>
      <x:c r="B21" s="96" t="str">
        <x:v>Trojan Hippo — weaponizing memory for exfiltration</x:v>
      </x:c>
      <x:c r="C21" s="96" t="str">
        <x:v>Das</x:v>
      </x:c>
      <x:c r="D21" s="96" t="n">
        <x:v>2026</x:v>
      </x:c>
      <x:c r="E21" s="96" t="str">
        <x:v>Preprint</x:v>
      </x:c>
      <x:c r="F21" s="96" t="str">
        <x:v>arXiv</x:v>
      </x:c>
      <x:c r="G21" s="96" t="str">
        <x:v>2605.01970</x:v>
      </x:c>
      <x:c r="H21" s="96" t="str">
        <x:v>Attack</x:v>
      </x:c>
      <x:c r="I21" s="96" t="str">
        <x:v>Pending</x:v>
      </x:c>
      <x:c r="J21" s="96" t="str">
        <x:v>Pending</x:v>
      </x:c>
      <x:c r="K21" s="96" t="str">
        <x:f>IF(OR(I21="",J21=""),"Pending",IF(I21=J21,I21,"Conflict"))</x:f>
        <x:v>Pending</x:v>
      </x:c>
      <x:c r="L21" s="96" t="str"/>
      <x:c r="M21" s="96" t="str">
        <x:v>Downloaded</x:v>
      </x:c>
      <x:c r="N21" s="96" t="str">
        <x:v>2605.01970v3.pdf</x:v>
      </x:c>
      <x:c r="O21" s="96" t="str">
        <x:v>Pending</x:v>
      </x:c>
      <x:c r="P21" s="96" t="str">
        <x:v>Pending</x:v>
      </x:c>
      <x:c r="Q21" s="96" t="str">
        <x:v>Pending</x:v>
      </x:c>
      <x:c r="R21" s="96" t="str"/>
      <x:c r="S21" s="96" t="str">
        <x:v>High</x:v>
      </x:c>
      <x:c r="T21" s="96" t="str"/>
    </x:row>
    <x:row r="22">
      <x:c r="A22" s="96" t="n">
        <x:v>18</x:v>
      </x:c>
      <x:c r="B22" s="96" t="str">
        <x:v>Hidden in Memory — sleeper memory poisoning</x:v>
      </x:c>
      <x:c r="C22" s="96" t="str">
        <x:v>Pulipaka</x:v>
      </x:c>
      <x:c r="D22" s="96" t="n">
        <x:v>2026</x:v>
      </x:c>
      <x:c r="E22" s="96" t="str">
        <x:v>Preprint</x:v>
      </x:c>
      <x:c r="F22" s="96" t="str">
        <x:v>arXiv</x:v>
      </x:c>
      <x:c r="G22" s="96" t="str">
        <x:v>2605.15338</x:v>
      </x:c>
      <x:c r="H22" s="96" t="str">
        <x:v>Attack</x:v>
      </x:c>
      <x:c r="I22" s="96" t="str">
        <x:v>Pending</x:v>
      </x:c>
      <x:c r="J22" s="96" t="str">
        <x:v>Pending</x:v>
      </x:c>
      <x:c r="K22" s="96" t="str">
        <x:f>IF(OR(I22="",J22=""),"Pending",IF(I22=J22,I22,"Conflict"))</x:f>
        <x:v>Pending</x:v>
      </x:c>
      <x:c r="L22" s="96" t="str"/>
      <x:c r="M22" s="96" t="str">
        <x:v>Downloaded</x:v>
      </x:c>
      <x:c r="N22" s="96" t="str">
        <x:v>2605.15338v2.pdf</x:v>
      </x:c>
      <x:c r="O22" s="96" t="str">
        <x:v>Pending</x:v>
      </x:c>
      <x:c r="P22" s="96" t="str">
        <x:v>Pending</x:v>
      </x:c>
      <x:c r="Q22" s="96" t="str">
        <x:v>Pending</x:v>
      </x:c>
      <x:c r="R22" s="96" t="str"/>
      <x:c r="S22" s="96" t="str">
        <x:v>High</x:v>
      </x:c>
      <x:c r="T22" s="96" t="str"/>
    </x:row>
    <x:row r="23">
      <x:c r="A23" s="96" t="n">
        <x:v>19</x:v>
      </x:c>
      <x:c r="B23" s="96" t="str">
        <x:v>From Untrusted Input to Trusted Memory + MPBench</x:v>
      </x:c>
      <x:c r="C23" s="96" t="str">
        <x:v>Dash</x:v>
      </x:c>
      <x:c r="D23" s="96" t="n">
        <x:v>2026</x:v>
      </x:c>
      <x:c r="E23" s="96" t="str">
        <x:v>Preprint</x:v>
      </x:c>
      <x:c r="F23" s="96" t="str">
        <x:v>arXiv</x:v>
      </x:c>
      <x:c r="G23" s="96" t="str">
        <x:v>2606.04329</x:v>
      </x:c>
      <x:c r="H23" s="96" t="str">
        <x:v>Attack</x:v>
      </x:c>
      <x:c r="I23" s="96" t="str">
        <x:v>Pending</x:v>
      </x:c>
      <x:c r="J23" s="96" t="str">
        <x:v>Pending</x:v>
      </x:c>
      <x:c r="K23" s="96" t="str">
        <x:f>IF(OR(I23="",J23=""),"Pending",IF(I23=J23,I23,"Conflict"))</x:f>
        <x:v>Pending</x:v>
      </x:c>
      <x:c r="L23" s="96" t="str"/>
      <x:c r="M23" s="96" t="str">
        <x:v>Downloaded</x:v>
      </x:c>
      <x:c r="N23" s="96" t="str">
        <x:v>2606.04329v2.pdf</x:v>
      </x:c>
      <x:c r="O23" s="96" t="str">
        <x:v>Pending</x:v>
      </x:c>
      <x:c r="P23" s="96" t="str">
        <x:v>Pending</x:v>
      </x:c>
      <x:c r="Q23" s="96" t="str">
        <x:v>Pending</x:v>
      </x:c>
      <x:c r="R23" s="96" t="str"/>
      <x:c r="S23" s="96" t="str">
        <x:v>High</x:v>
      </x:c>
      <x:c r="T23" s="96" t="str"/>
    </x:row>
    <x:row r="24">
      <x:c r="A24" s="96" t="n">
        <x:v>20</x:v>
      </x:c>
      <x:c r="B24" s="96" t="str">
        <x:v>MemMorph — tool-use hijacking via memory</x:v>
      </x:c>
      <x:c r="C24" s="96" t="str">
        <x:v>Zhang</x:v>
      </x:c>
      <x:c r="D24" s="96" t="n">
        <x:v>2026</x:v>
      </x:c>
      <x:c r="E24" s="96" t="str">
        <x:v>Preprint</x:v>
      </x:c>
      <x:c r="F24" s="96" t="str">
        <x:v>arXiv</x:v>
      </x:c>
      <x:c r="G24" s="96" t="str">
        <x:v>2605.26154</x:v>
      </x:c>
      <x:c r="H24" s="96" t="str">
        <x:v>Attack</x:v>
      </x:c>
      <x:c r="I24" s="96" t="str">
        <x:v>Pending</x:v>
      </x:c>
      <x:c r="J24" s="96" t="str">
        <x:v>Pending</x:v>
      </x:c>
      <x:c r="K24" s="96" t="str">
        <x:f>IF(OR(I24="",J24=""),"Pending",IF(I24=J24,I24,"Conflict"))</x:f>
        <x:v>Pending</x:v>
      </x:c>
      <x:c r="L24" s="96" t="str"/>
      <x:c r="M24" s="96" t="str">
        <x:v>Downloaded</x:v>
      </x:c>
      <x:c r="N24" s="96" t="str">
        <x:v>2605.26154v1.pdf</x:v>
      </x:c>
      <x:c r="O24" s="96" t="str">
        <x:v>Pending</x:v>
      </x:c>
      <x:c r="P24" s="96" t="str">
        <x:v>Pending</x:v>
      </x:c>
      <x:c r="Q24" s="96" t="str">
        <x:v>Pending</x:v>
      </x:c>
      <x:c r="R24" s="96" t="str"/>
      <x:c r="S24" s="96" t="str">
        <x:v>Medium</x:v>
      </x:c>
      <x:c r="T24" s="96" t="str"/>
    </x:row>
    <x:row r="25">
      <x:c r="A25" s="96" t="n">
        <x:v>21</x:v>
      </x:c>
      <x:c r="B25" s="96" t="str">
        <x:v>Zombie Agents — persistent control via self-reinforcing injection</x:v>
      </x:c>
      <x:c r="C25" s="96" t="str">
        <x:v>Yang</x:v>
      </x:c>
      <x:c r="D25" s="96" t="n">
        <x:v>2026</x:v>
      </x:c>
      <x:c r="E25" s="96" t="str">
        <x:v>Preprint</x:v>
      </x:c>
      <x:c r="F25" s="96" t="str">
        <x:v>arXiv</x:v>
      </x:c>
      <x:c r="G25" s="96" t="str">
        <x:v>2602.15654</x:v>
      </x:c>
      <x:c r="H25" s="96" t="str">
        <x:v>Attack</x:v>
      </x:c>
      <x:c r="I25" s="96" t="str">
        <x:v>Pending</x:v>
      </x:c>
      <x:c r="J25" s="96" t="str">
        <x:v>Pending</x:v>
      </x:c>
      <x:c r="K25" s="96" t="str">
        <x:f>IF(OR(I25="",J25=""),"Pending",IF(I25=J25,I25,"Conflict"))</x:f>
        <x:v>Pending</x:v>
      </x:c>
      <x:c r="L25" s="96" t="str"/>
      <x:c r="M25" s="96" t="str">
        <x:v>Downloaded</x:v>
      </x:c>
      <x:c r="N25" s="96" t="str">
        <x:v>2602.15654v2.pdf</x:v>
      </x:c>
      <x:c r="O25" s="96" t="str">
        <x:v>Pending</x:v>
      </x:c>
      <x:c r="P25" s="96" t="str">
        <x:v>Pending</x:v>
      </x:c>
      <x:c r="Q25" s="96" t="str">
        <x:v>Pending</x:v>
      </x:c>
      <x:c r="R25" s="96" t="str"/>
      <x:c r="S25" s="96" t="str">
        <x:v>Medium</x:v>
      </x:c>
      <x:c r="T25" s="96" t="str"/>
    </x:row>
    <x:row r="26">
      <x:c r="A26" s="96" t="n">
        <x:v>22</x:v>
      </x:c>
      <x:c r="B26" s="96" t="str">
        <x:v>No Attacker Needed — unintentional cross-user contamination</x:v>
      </x:c>
      <x:c r="C26" s="96" t="str">
        <x:v>Yang</x:v>
      </x:c>
      <x:c r="D26" s="96" t="n">
        <x:v>2026</x:v>
      </x:c>
      <x:c r="E26" s="96" t="str">
        <x:v>Preprint</x:v>
      </x:c>
      <x:c r="F26" s="96" t="str">
        <x:v>arXiv</x:v>
      </x:c>
      <x:c r="G26" s="96" t="str">
        <x:v>2604.01350</x:v>
      </x:c>
      <x:c r="H26" s="96" t="str">
        <x:v>Attack</x:v>
      </x:c>
      <x:c r="I26" s="96" t="str">
        <x:v>Pending</x:v>
      </x:c>
      <x:c r="J26" s="96" t="str">
        <x:v>Pending</x:v>
      </x:c>
      <x:c r="K26" s="96" t="str">
        <x:f>IF(OR(I26="",J26=""),"Pending",IF(I26=J26,I26,"Conflict"))</x:f>
        <x:v>Pending</x:v>
      </x:c>
      <x:c r="L26" s="96" t="str"/>
      <x:c r="M26" s="96" t="str">
        <x:v>Downloaded</x:v>
      </x:c>
      <x:c r="N26" s="96" t="str">
        <x:v>2604.01350v1.pdf</x:v>
      </x:c>
      <x:c r="O26" s="96" t="str">
        <x:v>Pending</x:v>
      </x:c>
      <x:c r="P26" s="96" t="str">
        <x:v>Pending</x:v>
      </x:c>
      <x:c r="Q26" s="96" t="str">
        <x:v>Pending</x:v>
      </x:c>
      <x:c r="R26" s="96" t="str"/>
      <x:c r="S26" s="96" t="str">
        <x:v>High</x:v>
      </x:c>
      <x:c r="T26" s="96" t="str"/>
    </x:row>
    <x:row r="27">
      <x:c r="A27" s="96" t="n">
        <x:v>23</x:v>
      </x:c>
      <x:c r="B27" s="96" t="str">
        <x:v>Skill-Inject — malicious procedures into skill memory</x:v>
      </x:c>
      <x:c r="C27" s="96" t="str">
        <x:v>Schmotz</x:v>
      </x:c>
      <x:c r="D27" s="96" t="n">
        <x:v>2026</x:v>
      </x:c>
      <x:c r="E27" s="96" t="str">
        <x:v>Preprint</x:v>
      </x:c>
      <x:c r="F27" s="96" t="str">
        <x:v>arXiv</x:v>
      </x:c>
      <x:c r="G27" s="96" t="str">
        <x:v>2602.20156</x:v>
      </x:c>
      <x:c r="H27" s="96" t="str">
        <x:v>Attack</x:v>
      </x:c>
      <x:c r="I27" s="96" t="str">
        <x:v>Pending</x:v>
      </x:c>
      <x:c r="J27" s="96" t="str">
        <x:v>Pending</x:v>
      </x:c>
      <x:c r="K27" s="96" t="str">
        <x:f>IF(OR(I27="",J27=""),"Pending",IF(I27=J27,I27,"Conflict"))</x:f>
        <x:v>Pending</x:v>
      </x:c>
      <x:c r="L27" s="96" t="str"/>
      <x:c r="M27" s="96" t="str">
        <x:v>Downloaded</x:v>
      </x:c>
      <x:c r="N27" s="96" t="str">
        <x:v>2602.20156v3.pdf</x:v>
      </x:c>
      <x:c r="O27" s="96" t="str">
        <x:v>Pending</x:v>
      </x:c>
      <x:c r="P27" s="96" t="str">
        <x:v>Pending</x:v>
      </x:c>
      <x:c r="Q27" s="96" t="str">
        <x:v>Pending</x:v>
      </x:c>
      <x:c r="R27" s="96" t="str"/>
      <x:c r="S27" s="96" t="str">
        <x:v>Medium</x:v>
      </x:c>
      <x:c r="T27" s="96" t="str"/>
    </x:row>
    <x:row r="28">
      <x:c r="A28" s="96" t="n">
        <x:v>24</x:v>
      </x:c>
      <x:c r="B28" s="96" t="str">
        <x:v>Visual Inception — multimodal memory poisoning</x:v>
      </x:c>
      <x:c r="C28" s="96" t="str">
        <x:v>Qian</x:v>
      </x:c>
      <x:c r="D28" s="96" t="n">
        <x:v>2026</x:v>
      </x:c>
      <x:c r="E28" s="96" t="str">
        <x:v>Preprint</x:v>
      </x:c>
      <x:c r="F28" s="96" t="str">
        <x:v>arXiv</x:v>
      </x:c>
      <x:c r="G28" s="96" t="str">
        <x:v>2604.16966</x:v>
      </x:c>
      <x:c r="H28" s="96" t="str">
        <x:v>Attack</x:v>
      </x:c>
      <x:c r="I28" s="96" t="str">
        <x:v>Pending</x:v>
      </x:c>
      <x:c r="J28" s="96" t="str">
        <x:v>Pending</x:v>
      </x:c>
      <x:c r="K28" s="96" t="str">
        <x:f>IF(OR(I28="",J28=""),"Pending",IF(I28=J28,I28,"Conflict"))</x:f>
        <x:v>Pending</x:v>
      </x:c>
      <x:c r="L28" s="96" t="str"/>
      <x:c r="M28" s="96" t="str">
        <x:v>Downloaded</x:v>
      </x:c>
      <x:c r="N28" s="96" t="str">
        <x:v>2604.16966v1.pdf</x:v>
      </x:c>
      <x:c r="O28" s="96" t="str">
        <x:v>Pending</x:v>
      </x:c>
      <x:c r="P28" s="96" t="str">
        <x:v>Pending</x:v>
      </x:c>
      <x:c r="Q28" s="96" t="str">
        <x:v>Pending</x:v>
      </x:c>
      <x:c r="R28" s="96" t="str"/>
      <x:c r="S28" s="96" t="str">
        <x:v>Medium</x:v>
      </x:c>
      <x:c r="T28" s="96" t="str"/>
    </x:row>
    <x:row r="29">
      <x:c r="A29" s="96" t="n">
        <x:v>25</x:v>
      </x:c>
      <x:c r="B29" s="96" t="str">
        <x:v>PoisonedRAG — knowledge corruption of RAG</x:v>
      </x:c>
      <x:c r="C29" s="96" t="str">
        <x:v>Zou</x:v>
      </x:c>
      <x:c r="D29" s="96" t="n">
        <x:v>2025</x:v>
      </x:c>
      <x:c r="E29" s="96" t="str">
        <x:v>Peer-reviewed</x:v>
      </x:c>
      <x:c r="F29" s="96" t="str">
        <x:v>USENIX Sec 2025</x:v>
      </x:c>
      <x:c r="G29" s="96" t="str">
        <x:v>2402.07867</x:v>
      </x:c>
      <x:c r="H29" s="96" t="str">
        <x:v>Attack</x:v>
      </x:c>
      <x:c r="I29" s="96" t="str">
        <x:v>Pending</x:v>
      </x:c>
      <x:c r="J29" s="96" t="str">
        <x:v>Pending</x:v>
      </x:c>
      <x:c r="K29" s="96" t="str">
        <x:f>IF(OR(I29="",J29=""),"Pending",IF(I29=J29,I29,"Conflict"))</x:f>
        <x:v>Pending</x:v>
      </x:c>
      <x:c r="L29" s="96" t="str"/>
      <x:c r="M29" s="96" t="str">
        <x:v>Downloaded</x:v>
      </x:c>
      <x:c r="N29" s="96" t="str">
        <x:v>sec24winter-prepub-1468-zou.pdf</x:v>
      </x:c>
      <x:c r="O29" s="96" t="str">
        <x:v>Pending</x:v>
      </x:c>
      <x:c r="P29" s="96" t="str">
        <x:v>Pending</x:v>
      </x:c>
      <x:c r="Q29" s="96" t="str">
        <x:v>Pending</x:v>
      </x:c>
      <x:c r="R29" s="96" t="str"/>
      <x:c r="S29" s="96" t="str">
        <x:v>High</x:v>
      </x:c>
      <x:c r="T29" s="96" t="str"/>
    </x:row>
    <x:row r="30">
      <x:c r="A30" s="96" t="n">
        <x:v>26</x:v>
      </x:c>
      <x:c r="B30" s="96" t="str">
        <x:v>Agent Smith — one image jailbreaks a million agents</x:v>
      </x:c>
      <x:c r="C30" s="96" t="str">
        <x:v>Gu</x:v>
      </x:c>
      <x:c r="D30" s="96" t="n">
        <x:v>2024</x:v>
      </x:c>
      <x:c r="E30" s="96" t="str">
        <x:v>Peer-reviewed</x:v>
      </x:c>
      <x:c r="F30" s="96" t="str">
        <x:v>ICML 2024</x:v>
      </x:c>
      <x:c r="G30" s="96" t="str">
        <x:v>2402.08567</x:v>
      </x:c>
      <x:c r="H30" s="96" t="str">
        <x:v>Attack</x:v>
      </x:c>
      <x:c r="I30" s="96" t="str">
        <x:v>Pending</x:v>
      </x:c>
      <x:c r="J30" s="96" t="str">
        <x:v>Pending</x:v>
      </x:c>
      <x:c r="K30" s="96" t="str">
        <x:f>IF(OR(I30="",J30=""),"Pending",IF(I30=J30,I30,"Conflict"))</x:f>
        <x:v>Pending</x:v>
      </x:c>
      <x:c r="L30" s="96" t="str"/>
      <x:c r="M30" s="96" t="str">
        <x:v>Downloaded</x:v>
      </x:c>
      <x:c r="N30" s="96" t="str">
        <x:v>2402.08567v2.pdf</x:v>
      </x:c>
      <x:c r="O30" s="96" t="str">
        <x:v>Pending</x:v>
      </x:c>
      <x:c r="P30" s="96" t="str">
        <x:v>Pending</x:v>
      </x:c>
      <x:c r="Q30" s="96" t="str">
        <x:v>Pending</x:v>
      </x:c>
      <x:c r="R30" s="96" t="str"/>
      <x:c r="S30" s="96" t="str">
        <x:v>High</x:v>
      </x:c>
      <x:c r="T30" s="96" t="str"/>
    </x:row>
    <x:row r="31">
      <x:c r="A31" s="96" t="n">
        <x:v>27</x:v>
      </x:c>
      <x:c r="B31" s="96" t="str">
        <x:v>ComPromptMized — zero-click self-replicating GenAI worm</x:v>
      </x:c>
      <x:c r="C31" s="96" t="str">
        <x:v>Cohen</x:v>
      </x:c>
      <x:c r="D31" s="96" t="n">
        <x:v>2025</x:v>
      </x:c>
      <x:c r="E31" s="96" t="str">
        <x:v>Peer-reviewed</x:v>
      </x:c>
      <x:c r="F31" s="96" t="str">
        <x:v>ACM CCS 2025</x:v>
      </x:c>
      <x:c r="G31" s="96" t="str">
        <x:v>2403.02817</x:v>
      </x:c>
      <x:c r="H31" s="96" t="str">
        <x:v>Attack</x:v>
      </x:c>
      <x:c r="I31" s="96" t="str">
        <x:v>Pending</x:v>
      </x:c>
      <x:c r="J31" s="96" t="str">
        <x:v>Pending</x:v>
      </x:c>
      <x:c r="K31" s="96" t="str">
        <x:f>IF(OR(I31="",J31=""),"Pending",IF(I31=J31,I31,"Conflict"))</x:f>
        <x:v>Pending</x:v>
      </x:c>
      <x:c r="L31" s="96" t="str"/>
      <x:c r="M31" s="96" t="str">
        <x:v>Downloaded</x:v>
      </x:c>
      <x:c r="N31" s="96" t="str">
        <x:v>2403.02817v2.pdf</x:v>
      </x:c>
      <x:c r="O31" s="96" t="str">
        <x:v>Pending</x:v>
      </x:c>
      <x:c r="P31" s="96" t="str">
        <x:v>Pending</x:v>
      </x:c>
      <x:c r="Q31" s="96" t="str">
        <x:v>Pending</x:v>
      </x:c>
      <x:c r="R31" s="96" t="str"/>
      <x:c r="S31" s="96" t="str">
        <x:v>High</x:v>
      </x:c>
      <x:c r="T31" s="96" t="str"/>
    </x:row>
    <x:row r="32">
      <x:c r="A32" s="96" t="n">
        <x:v>28</x:v>
      </x:c>
      <x:c r="B32" s="96" t="str">
        <x:v>Ghost of the Past — privacy leakage of LLM memory</x:v>
      </x:c>
      <x:c r="C32" s="96" t="str">
        <x:v>Zhang</x:v>
      </x:c>
      <x:c r="D32" s="96" t="n">
        <x:v>2024</x:v>
      </x:c>
      <x:c r="E32" s="96" t="str">
        <x:v>Preprint</x:v>
      </x:c>
      <x:c r="F32" s="96" t="str">
        <x:v>arXiv</x:v>
      </x:c>
      <x:c r="G32" s="96" t="str">
        <x:v>2410.14931</x:v>
      </x:c>
      <x:c r="H32" s="96" t="str">
        <x:v>Attack</x:v>
      </x:c>
      <x:c r="I32" s="96" t="str">
        <x:v>Pending</x:v>
      </x:c>
      <x:c r="J32" s="96" t="str">
        <x:v>Pending</x:v>
      </x:c>
      <x:c r="K32" s="96" t="str">
        <x:f>IF(OR(I32="",J32=""),"Pending",IF(I32=J32,I32,"Conflict"))</x:f>
        <x:v>Pending</x:v>
      </x:c>
      <x:c r="L32" s="96" t="str"/>
      <x:c r="M32" s="96" t="str">
        <x:v>Downloaded</x:v>
      </x:c>
      <x:c r="N32" s="96" t="str">
        <x:v>2410.14931v1.pdf</x:v>
      </x:c>
      <x:c r="O32" s="96" t="str">
        <x:v>Pending</x:v>
      </x:c>
      <x:c r="P32" s="96" t="str">
        <x:v>Pending</x:v>
      </x:c>
      <x:c r="Q32" s="96" t="str">
        <x:v>Pending</x:v>
      </x:c>
      <x:c r="R32" s="96" t="str"/>
      <x:c r="S32" s="96" t="str">
        <x:v>High</x:v>
      </x:c>
      <x:c r="T32" s="96" t="str"/>
    </x:row>
    <x:row r="33">
      <x:c r="A33" s="96" t="n">
        <x:v>29</x:v>
      </x:c>
      <x:c r="B33" s="96" t="str">
        <x:v>Cross-session Stored Prompt Injection in Agentic Systems</x:v>
      </x:c>
      <x:c r="C33" s="96" t="str">
        <x:v>Xie</x:v>
      </x:c>
      <x:c r="D33" s="96" t="n">
        <x:v>2026</x:v>
      </x:c>
      <x:c r="E33" s="96" t="str">
        <x:v>Preprint</x:v>
      </x:c>
      <x:c r="F33" s="96" t="str">
        <x:v>arXiv</x:v>
      </x:c>
      <x:c r="G33" s="96" t="str">
        <x:v>2606.04425</x:v>
      </x:c>
      <x:c r="H33" s="96" t="str">
        <x:v>Attack</x:v>
      </x:c>
      <x:c r="I33" s="96" t="str">
        <x:v>Pending</x:v>
      </x:c>
      <x:c r="J33" s="96" t="str">
        <x:v>Pending</x:v>
      </x:c>
      <x:c r="K33" s="96" t="str">
        <x:f>IF(OR(I33="",J33=""),"Pending",IF(I33=J33,I33,"Conflict"))</x:f>
        <x:v>Pending</x:v>
      </x:c>
      <x:c r="L33" s="96" t="str"/>
      <x:c r="M33" s="96" t="str">
        <x:v>Downloaded</x:v>
      </x:c>
      <x:c r="N33" s="96" t="str">
        <x:v>2606.04425v1.pdf</x:v>
      </x:c>
      <x:c r="O33" s="96" t="str">
        <x:v>Pending</x:v>
      </x:c>
      <x:c r="P33" s="96" t="str">
        <x:v>Pending</x:v>
      </x:c>
      <x:c r="Q33" s="96" t="str">
        <x:v>Pending</x:v>
      </x:c>
      <x:c r="R33" s="96" t="str"/>
      <x:c r="S33" s="96" t="str">
        <x:v>Medium</x:v>
      </x:c>
      <x:c r="T33" s="96" t="str"/>
    </x:row>
    <x:row r="34">
      <x:c r="A34" s="96" t="n">
        <x:v>30</x:v>
      </x:c>
      <x:c r="B34" s="96" t="str">
        <x:v>ER-MIA — black-box adversarial memory injection</x:v>
      </x:c>
      <x:c r="C34" s="96" t="str">
        <x:v>Piehl</x:v>
      </x:c>
      <x:c r="D34" s="96" t="n">
        <x:v>2026</x:v>
      </x:c>
      <x:c r="E34" s="96" t="str">
        <x:v>Preprint</x:v>
      </x:c>
      <x:c r="F34" s="96" t="str">
        <x:v>arXiv</x:v>
      </x:c>
      <x:c r="G34" s="96" t="str">
        <x:v>2602.15344</x:v>
      </x:c>
      <x:c r="H34" s="96" t="str">
        <x:v>Attack</x:v>
      </x:c>
      <x:c r="I34" s="96" t="str">
        <x:v>Pending</x:v>
      </x:c>
      <x:c r="J34" s="96" t="str">
        <x:v>Pending</x:v>
      </x:c>
      <x:c r="K34" s="96" t="str">
        <x:f>IF(OR(I34="",J34=""),"Pending",IF(I34=J34,I34,"Conflict"))</x:f>
        <x:v>Pending</x:v>
      </x:c>
      <x:c r="L34" s="96" t="str"/>
      <x:c r="M34" s="96" t="str">
        <x:v>Downloaded</x:v>
      </x:c>
      <x:c r="N34" s="96" t="str">
        <x:v>2602.15344v1.pdf</x:v>
      </x:c>
      <x:c r="O34" s="96" t="str">
        <x:v>Pending</x:v>
      </x:c>
      <x:c r="P34" s="96" t="str">
        <x:v>Pending</x:v>
      </x:c>
      <x:c r="Q34" s="96" t="str">
        <x:v>Pending</x:v>
      </x:c>
      <x:c r="R34" s="96" t="str"/>
      <x:c r="S34" s="96" t="str">
        <x:v>High</x:v>
      </x:c>
      <x:c r="T34" s="96" t="str"/>
    </x:row>
    <x:row r="35">
      <x:c r="A35" s="96" t="n">
        <x:v>31</x:v>
      </x:c>
      <x:c r="B35" s="96" t="str">
        <x:v>MemPoison / Hijacking Agent Memory — stealthy trojan via dialogue</x:v>
      </x:c>
      <x:c r="C35" s="96" t="str">
        <x:v>Wang (Hongtao)</x:v>
      </x:c>
      <x:c r="D35" s="96" t="n">
        <x:v>2026</x:v>
      </x:c>
      <x:c r="E35" s="96" t="str">
        <x:v>Preprint</x:v>
      </x:c>
      <x:c r="F35" s="96" t="str">
        <x:v>arXiv</x:v>
      </x:c>
      <x:c r="G35" s="96" t="str">
        <x:v>2605.29960</x:v>
      </x:c>
      <x:c r="H35" s="96" t="str">
        <x:v>Attack</x:v>
      </x:c>
      <x:c r="I35" s="96" t="str">
        <x:v>Pending</x:v>
      </x:c>
      <x:c r="J35" s="96" t="str">
        <x:v>Pending</x:v>
      </x:c>
      <x:c r="K35" s="96" t="str">
        <x:f>IF(OR(I35="",J35=""),"Pending",IF(I35=J35,I35,"Conflict"))</x:f>
        <x:v>Pending</x:v>
      </x:c>
      <x:c r="L35" s="96" t="str"/>
      <x:c r="M35" s="96" t="str">
        <x:v>Downloaded</x:v>
      </x:c>
      <x:c r="N35" s="96" t="str">
        <x:v>2605.29960v1.pdf</x:v>
      </x:c>
      <x:c r="O35" s="96" t="str">
        <x:v>Pending</x:v>
      </x:c>
      <x:c r="P35" s="96" t="str">
        <x:v>Pending</x:v>
      </x:c>
      <x:c r="Q35" s="96" t="str">
        <x:v>Pending</x:v>
      </x:c>
      <x:c r="R35" s="96" t="str"/>
      <x:c r="S35" s="96" t="str">
        <x:v>High</x:v>
      </x:c>
      <x:c r="T35" s="96" t="str"/>
    </x:row>
    <x:row r="36">
      <x:c r="A36" s="96" t="n">
        <x:v>32</x:v>
      </x:c>
      <x:c r="B36" s="96" t="str">
        <x:v>ShadowMerge — poisoning graph-based memory via relation-channel conflicts</x:v>
      </x:c>
      <x:c r="C36" s="96" t="str">
        <x:v>(ShadowMerge)</x:v>
      </x:c>
      <x:c r="D36" s="96" t="n">
        <x:v>2026</x:v>
      </x:c>
      <x:c r="E36" s="96" t="str">
        <x:v>Preprint</x:v>
      </x:c>
      <x:c r="F36" s="96" t="str">
        <x:v>arXiv</x:v>
      </x:c>
      <x:c r="G36" s="96" t="str">
        <x:v>2605.09033</x:v>
      </x:c>
      <x:c r="H36" s="96" t="str">
        <x:v>Attack</x:v>
      </x:c>
      <x:c r="I36" s="96" t="str">
        <x:v>Pending</x:v>
      </x:c>
      <x:c r="J36" s="96" t="str">
        <x:v>Pending</x:v>
      </x:c>
      <x:c r="K36" s="96" t="str">
        <x:f>IF(OR(I36="",J36=""),"Pending",IF(I36=J36,I36,"Conflict"))</x:f>
        <x:v>Pending</x:v>
      </x:c>
      <x:c r="L36" s="96" t="str"/>
      <x:c r="M36" s="96" t="str">
        <x:v>Downloaded</x:v>
      </x:c>
      <x:c r="N36" s="96" t="str">
        <x:v>2605.09033v3.pdf</x:v>
      </x:c>
      <x:c r="O36" s="96" t="str">
        <x:v>Pending</x:v>
      </x:c>
      <x:c r="P36" s="96" t="str">
        <x:v>Pending</x:v>
      </x:c>
      <x:c r="Q36" s="96" t="str">
        <x:v>Pending</x:v>
      </x:c>
      <x:c r="R36" s="96" t="str"/>
      <x:c r="S36" s="96" t="str">
        <x:v>Medium</x:v>
      </x:c>
      <x:c r="T36" s="96" t="str"/>
    </x:row>
    <x:row r="37">
      <x:c r="A37" s="96" t="n">
        <x:v>33</x:v>
      </x:c>
      <x:c r="B37" s="96" t="str">
        <x:v>MRMMIA — membership inference on chat-agent memory</x:v>
      </x:c>
      <x:c r="C37" s="96" t="str">
        <x:v>Chen (Kai)</x:v>
      </x:c>
      <x:c r="D37" s="96" t="n">
        <x:v>2026</x:v>
      </x:c>
      <x:c r="E37" s="96" t="str">
        <x:v>Preprint</x:v>
      </x:c>
      <x:c r="F37" s="96" t="str">
        <x:v>arXiv</x:v>
      </x:c>
      <x:c r="G37" s="96" t="str">
        <x:v>2605.27825</x:v>
      </x:c>
      <x:c r="H37" s="96" t="str">
        <x:v>Attack</x:v>
      </x:c>
      <x:c r="I37" s="96" t="str">
        <x:v>Pending</x:v>
      </x:c>
      <x:c r="J37" s="96" t="str">
        <x:v>Pending</x:v>
      </x:c>
      <x:c r="K37" s="96" t="str">
        <x:f>IF(OR(I37="",J37=""),"Pending",IF(I37=J37,I37,"Conflict"))</x:f>
        <x:v>Pending</x:v>
      </x:c>
      <x:c r="L37" s="96" t="str"/>
      <x:c r="M37" s="96" t="str">
        <x:v>Downloaded</x:v>
      </x:c>
      <x:c r="N37" s="96" t="str">
        <x:v>2605.27825v1.pdf</x:v>
      </x:c>
      <x:c r="O37" s="96" t="str">
        <x:v>Pending</x:v>
      </x:c>
      <x:c r="P37" s="96" t="str">
        <x:v>Pending</x:v>
      </x:c>
      <x:c r="Q37" s="96" t="str">
        <x:v>Pending</x:v>
      </x:c>
      <x:c r="R37" s="96" t="str"/>
      <x:c r="S37" s="96" t="str">
        <x:v>Medium</x:v>
      </x:c>
      <x:c r="T37" s="96" t="str"/>
    </x:row>
    <x:row r="38">
      <x:c r="A38" s="96" t="n">
        <x:v>34</x:v>
      </x:c>
      <x:c r="B38" s="96" t="str">
        <x:v>VerificAgent — human-verified memory freezing</x:v>
      </x:c>
      <x:c r="C38" s="96" t="str">
        <x:v>Nguyen</x:v>
      </x:c>
      <x:c r="D38" s="96" t="n">
        <x:v>2025</x:v>
      </x:c>
      <x:c r="E38" s="96" t="str">
        <x:v>Preprint</x:v>
      </x:c>
      <x:c r="F38" s="96" t="str">
        <x:v>arXiv</x:v>
      </x:c>
      <x:c r="G38" s="96" t="str">
        <x:v>2506.02539</x:v>
      </x:c>
      <x:c r="H38" s="96" t="str">
        <x:v>Defense</x:v>
      </x:c>
      <x:c r="I38" s="96" t="str">
        <x:v>Pending</x:v>
      </x:c>
      <x:c r="J38" s="96" t="str">
        <x:v>Pending</x:v>
      </x:c>
      <x:c r="K38" s="96" t="str">
        <x:f>IF(OR(I38="",J38=""),"Pending",IF(I38=J38,I38,"Conflict"))</x:f>
        <x:v>Pending</x:v>
      </x:c>
      <x:c r="L38" s="96" t="str"/>
      <x:c r="M38" s="96" t="str">
        <x:v>Downloaded</x:v>
      </x:c>
      <x:c r="N38" s="96" t="str">
        <x:v>2506.02539v3.pdf</x:v>
      </x:c>
      <x:c r="O38" s="96" t="str">
        <x:v>Pending</x:v>
      </x:c>
      <x:c r="P38" s="96" t="str">
        <x:v>Pending</x:v>
      </x:c>
      <x:c r="Q38" s="96" t="str">
        <x:v>Pending</x:v>
      </x:c>
      <x:c r="R38" s="96" t="str"/>
      <x:c r="S38" s="96" t="str">
        <x:v>High</x:v>
      </x:c>
      <x:c r="T38" s="96" t="str"/>
    </x:row>
    <x:row r="39">
      <x:c r="A39" s="96" t="n">
        <x:v>35</x:v>
      </x:c>
      <x:c r="B39" s="96" t="str">
        <x:v>PROV-AGENT — unified provenance for agent interactions</x:v>
      </x:c>
      <x:c r="C39" s="96" t="str">
        <x:v>Souza</x:v>
      </x:c>
      <x:c r="D39" s="96" t="n">
        <x:v>2025</x:v>
      </x:c>
      <x:c r="E39" s="96" t="str">
        <x:v>Peer-reviewed</x:v>
      </x:c>
      <x:c r="F39" s="96" t="str">
        <x:v>IEEE eScience 2025</x:v>
      </x:c>
      <x:c r="G39" s="96" t="str">
        <x:v>2508.02866</x:v>
      </x:c>
      <x:c r="H39" s="96" t="str">
        <x:v>Provenance/System</x:v>
      </x:c>
      <x:c r="I39" s="96" t="str">
        <x:v>Pending</x:v>
      </x:c>
      <x:c r="J39" s="96" t="str">
        <x:v>Pending</x:v>
      </x:c>
      <x:c r="K39" s="96" t="str">
        <x:f>IF(OR(I39="",J39=""),"Pending",IF(I39=J39,I39,"Conflict"))</x:f>
        <x:v>Pending</x:v>
      </x:c>
      <x:c r="L39" s="96" t="str"/>
      <x:c r="M39" s="96" t="str">
        <x:v>Downloaded</x:v>
      </x:c>
      <x:c r="N39" s="96" t="str">
        <x:v>2508.02866v3.pdf</x:v>
      </x:c>
      <x:c r="O39" s="96" t="str">
        <x:v>Pending</x:v>
      </x:c>
      <x:c r="P39" s="96" t="str">
        <x:v>Pending</x:v>
      </x:c>
      <x:c r="Q39" s="96" t="str">
        <x:v>Pending</x:v>
      </x:c>
      <x:c r="R39" s="96" t="str"/>
      <x:c r="S39" s="96" t="str">
        <x:v>High</x:v>
      </x:c>
      <x:c r="T39" s="96" t="str"/>
    </x:row>
    <x:row r="40">
      <x:c r="A40" s="96" t="n">
        <x:v>36</x:v>
      </x:c>
      <x:c r="B40" s="96" t="str">
        <x:v>MemOS — a memory OS for AI</x:v>
      </x:c>
      <x:c r="C40" s="96" t="str">
        <x:v>Li</x:v>
      </x:c>
      <x:c r="D40" s="96" t="n">
        <x:v>2025</x:v>
      </x:c>
      <x:c r="E40" s="96" t="str">
        <x:v>Preprint</x:v>
      </x:c>
      <x:c r="F40" s="96" t="str">
        <x:v>arXiv</x:v>
      </x:c>
      <x:c r="G40" s="96" t="str">
        <x:v>2507.03724</x:v>
      </x:c>
      <x:c r="H40" s="96" t="str">
        <x:v>Provenance/System</x:v>
      </x:c>
      <x:c r="I40" s="96" t="str">
        <x:v>Pending</x:v>
      </x:c>
      <x:c r="J40" s="96" t="str">
        <x:v>Pending</x:v>
      </x:c>
      <x:c r="K40" s="96" t="str">
        <x:f>IF(OR(I40="",J40=""),"Pending",IF(I40=J40,I40,"Conflict"))</x:f>
        <x:v>Pending</x:v>
      </x:c>
      <x:c r="L40" s="96" t="str"/>
      <x:c r="M40" s="96" t="str">
        <x:v>Downloaded</x:v>
      </x:c>
      <x:c r="N40" s="96" t="str">
        <x:v>2507.03724v4.pdf</x:v>
      </x:c>
      <x:c r="O40" s="96" t="str">
        <x:v>Pending</x:v>
      </x:c>
      <x:c r="P40" s="96" t="str">
        <x:v>Pending</x:v>
      </x:c>
      <x:c r="Q40" s="96" t="str">
        <x:v>Pending</x:v>
      </x:c>
      <x:c r="R40" s="96" t="str"/>
      <x:c r="S40" s="96" t="str">
        <x:v>High</x:v>
      </x:c>
      <x:c r="T40" s="96" t="str"/>
    </x:row>
    <x:row r="41">
      <x:c r="A41" s="96" t="n">
        <x:v>37</x:v>
      </x:c>
      <x:c r="B41" s="96" t="str">
        <x:v>MemLineage — lineage-guided enforcement for agent memory</x:v>
      </x:c>
      <x:c r="C41" s="96" t="str">
        <x:v>Ouyang</x:v>
      </x:c>
      <x:c r="D41" s="96" t="n">
        <x:v>2026</x:v>
      </x:c>
      <x:c r="E41" s="96" t="str">
        <x:v>Preprint</x:v>
      </x:c>
      <x:c r="F41" s="96" t="str">
        <x:v>arXiv</x:v>
      </x:c>
      <x:c r="G41" s="96" t="str">
        <x:v>2605.14421</x:v>
      </x:c>
      <x:c r="H41" s="96" t="str">
        <x:v>Defense</x:v>
      </x:c>
      <x:c r="I41" s="96" t="str">
        <x:v>Pending</x:v>
      </x:c>
      <x:c r="J41" s="96" t="str">
        <x:v>Pending</x:v>
      </x:c>
      <x:c r="K41" s="96" t="str">
        <x:f>IF(OR(I41="",J41=""),"Pending",IF(I41=J41,I41,"Conflict"))</x:f>
        <x:v>Pending</x:v>
      </x:c>
      <x:c r="L41" s="96" t="str"/>
      <x:c r="M41" s="96" t="str">
        <x:v>Downloaded</x:v>
      </x:c>
      <x:c r="N41" s="96" t="str">
        <x:v>2605.14421v1.pdf</x:v>
      </x:c>
      <x:c r="O41" s="96" t="str">
        <x:v>Pending</x:v>
      </x:c>
      <x:c r="P41" s="96" t="str">
        <x:v>Pending</x:v>
      </x:c>
      <x:c r="Q41" s="96" t="str">
        <x:v>Pending</x:v>
      </x:c>
      <x:c r="R41" s="96" t="str"/>
      <x:c r="S41" s="96" t="str">
        <x:v>High</x:v>
      </x:c>
      <x:c r="T41" s="96" t="str"/>
    </x:row>
    <x:row r="42">
      <x:c r="A42" s="96" t="n">
        <x:v>38</x:v>
      </x:c>
      <x:c r="B42" s="96" t="str">
        <x:v>Origin-bound Authority (non-malleable) against poisoning</x:v>
      </x:c>
      <x:c r="C42" s="96" t="str">
        <x:v>Louck</x:v>
      </x:c>
      <x:c r="D42" s="96" t="n">
        <x:v>2026</x:v>
      </x:c>
      <x:c r="E42" s="96" t="str">
        <x:v>Preprint</x:v>
      </x:c>
      <x:c r="F42" s="96" t="str">
        <x:v>arXiv</x:v>
      </x:c>
      <x:c r="G42" s="96" t="str">
        <x:v>2606.24322</x:v>
      </x:c>
      <x:c r="H42" s="96" t="str">
        <x:v>Defense</x:v>
      </x:c>
      <x:c r="I42" s="96" t="str">
        <x:v>Pending</x:v>
      </x:c>
      <x:c r="J42" s="96" t="str">
        <x:v>Pending</x:v>
      </x:c>
      <x:c r="K42" s="96" t="str">
        <x:f>IF(OR(I42="",J42=""),"Pending",IF(I42=J42,I42,"Conflict"))</x:f>
        <x:v>Pending</x:v>
      </x:c>
      <x:c r="L42" s="96" t="str"/>
      <x:c r="M42" s="96" t="str">
        <x:v>Downloaded</x:v>
      </x:c>
      <x:c r="N42" s="96" t="str">
        <x:v>2606.24322v1.pdf</x:v>
      </x:c>
      <x:c r="O42" s="96" t="str">
        <x:v>Pending</x:v>
      </x:c>
      <x:c r="P42" s="96" t="str">
        <x:v>Pending</x:v>
      </x:c>
      <x:c r="Q42" s="96" t="str">
        <x:v>Pending</x:v>
      </x:c>
      <x:c r="R42" s="96" t="str"/>
      <x:c r="S42" s="96" t="str">
        <x:v>High</x:v>
      </x:c>
      <x:c r="T42" s="96" t="str"/>
    </x:row>
    <x:row r="43">
      <x:c r="A43" s="96" t="n">
        <x:v>39</x:v>
      </x:c>
      <x:c r="B43" s="96" t="str">
        <x:v>MemAudit — post-hoc auditing via causal attribution</x:v>
      </x:c>
      <x:c r="C43" s="96" t="str">
        <x:v>Tan</x:v>
      </x:c>
      <x:c r="D43" s="96" t="n">
        <x:v>2026</x:v>
      </x:c>
      <x:c r="E43" s="96" t="str">
        <x:v>Preprint</x:v>
      </x:c>
      <x:c r="F43" s="96" t="str">
        <x:v>arXiv</x:v>
      </x:c>
      <x:c r="G43" s="96" t="str">
        <x:v>2605.23723</x:v>
      </x:c>
      <x:c r="H43" s="96" t="str">
        <x:v>Defense</x:v>
      </x:c>
      <x:c r="I43" s="96" t="str">
        <x:v>Pending</x:v>
      </x:c>
      <x:c r="J43" s="96" t="str">
        <x:v>Pending</x:v>
      </x:c>
      <x:c r="K43" s="96" t="str">
        <x:f>IF(OR(I43="",J43=""),"Pending",IF(I43=J43,I43,"Conflict"))</x:f>
        <x:v>Pending</x:v>
      </x:c>
      <x:c r="L43" s="96" t="str"/>
      <x:c r="M43" s="96" t="str">
        <x:v>Downloaded</x:v>
      </x:c>
      <x:c r="N43" s="96" t="str">
        <x:v>2605.23723v1.pdf</x:v>
      </x:c>
      <x:c r="O43" s="96" t="str">
        <x:v>Pending</x:v>
      </x:c>
      <x:c r="P43" s="96" t="str">
        <x:v>Pending</x:v>
      </x:c>
      <x:c r="Q43" s="96" t="str">
        <x:v>Pending</x:v>
      </x:c>
      <x:c r="R43" s="96" t="str"/>
      <x:c r="S43" s="96" t="str">
        <x:v>High</x:v>
      </x:c>
      <x:c r="T43" s="96" t="str"/>
    </x:row>
    <x:row r="44">
      <x:c r="A44" s="96" t="n">
        <x:v>40</x:v>
      </x:c>
      <x:c r="B44" s="96" t="str">
        <x:v>Forensic Trajectory Signatures — behavioural detection of poisoning</x:v>
      </x:c>
      <x:c r="C44" s="96" t="str">
        <x:v>Leong</x:v>
      </x:c>
      <x:c r="D44" s="96" t="n">
        <x:v>2026</x:v>
      </x:c>
      <x:c r="E44" s="96" t="str">
        <x:v>Preprint</x:v>
      </x:c>
      <x:c r="F44" s="96" t="str">
        <x:v>arXiv</x:v>
      </x:c>
      <x:c r="G44" s="96" t="str">
        <x:v>2606.30566</x:v>
      </x:c>
      <x:c r="H44" s="96" t="str">
        <x:v>Defense</x:v>
      </x:c>
      <x:c r="I44" s="96" t="str">
        <x:v>Pending</x:v>
      </x:c>
      <x:c r="J44" s="96" t="str">
        <x:v>Pending</x:v>
      </x:c>
      <x:c r="K44" s="96" t="str">
        <x:f>IF(OR(I44="",J44=""),"Pending",IF(I44=J44,I44,"Conflict"))</x:f>
        <x:v>Pending</x:v>
      </x:c>
      <x:c r="L44" s="96" t="str"/>
      <x:c r="M44" s="96" t="str">
        <x:v>Downloaded</x:v>
      </x:c>
      <x:c r="N44" s="96" t="str">
        <x:v>2606.30566v1.pdf</x:v>
      </x:c>
      <x:c r="O44" s="96" t="str">
        <x:v>Pending</x:v>
      </x:c>
      <x:c r="P44" s="96" t="str">
        <x:v>Pending</x:v>
      </x:c>
      <x:c r="Q44" s="96" t="str">
        <x:v>Pending</x:v>
      </x:c>
      <x:c r="R44" s="96" t="str"/>
      <x:c r="S44" s="96" t="str">
        <x:v>High</x:v>
      </x:c>
      <x:c r="T44" s="96" t="str"/>
    </x:row>
    <x:row r="45">
      <x:c r="A45" s="96" t="n">
        <x:v>41</x:v>
      </x:c>
      <x:c r="B45" s="96" t="str">
        <x:v>RobustRAG — certifiably robust RAG vs retrieval corruption</x:v>
      </x:c>
      <x:c r="C45" s="96" t="str">
        <x:v>Xiang</x:v>
      </x:c>
      <x:c r="D45" s="96" t="n">
        <x:v>2026</x:v>
      </x:c>
      <x:c r="E45" s="96" t="str">
        <x:v>Peer-reviewed</x:v>
      </x:c>
      <x:c r="F45" s="96" t="str">
        <x:v>IEEE SaTML 2026</x:v>
      </x:c>
      <x:c r="G45" s="96" t="str">
        <x:v>2405.15556</x:v>
      </x:c>
      <x:c r="H45" s="96" t="str">
        <x:v>Defense</x:v>
      </x:c>
      <x:c r="I45" s="96" t="str">
        <x:v>Pending</x:v>
      </x:c>
      <x:c r="J45" s="96" t="str">
        <x:v>Pending</x:v>
      </x:c>
      <x:c r="K45" s="96" t="str">
        <x:f>IF(OR(I45="",J45=""),"Pending",IF(I45=J45,I45,"Conflict"))</x:f>
        <x:v>Pending</x:v>
      </x:c>
      <x:c r="L45" s="96" t="str"/>
      <x:c r="M45" s="96" t="str">
        <x:v>Downloaded</x:v>
      </x:c>
      <x:c r="N45" s="96" t="str">
        <x:v>2405.15556v2.pdf</x:v>
      </x:c>
      <x:c r="O45" s="96" t="str">
        <x:v>Pending</x:v>
      </x:c>
      <x:c r="P45" s="96" t="str">
        <x:v>Pending</x:v>
      </x:c>
      <x:c r="Q45" s="96" t="str">
        <x:v>Pending</x:v>
      </x:c>
      <x:c r="R45" s="96" t="str"/>
      <x:c r="S45" s="96" t="str">
        <x:v>High</x:v>
      </x:c>
      <x:c r="T45" s="96" t="str"/>
    </x:row>
    <x:row r="46">
      <x:c r="A46" s="96" t="n">
        <x:v>42</x:v>
      </x:c>
      <x:c r="B46" s="96" t="str">
        <x:v>A-MemGuard — proactive defense for agent memory</x:v>
      </x:c>
      <x:c r="C46" s="96" t="str">
        <x:v>Wei</x:v>
      </x:c>
      <x:c r="D46" s="96" t="n">
        <x:v>2025</x:v>
      </x:c>
      <x:c r="E46" s="96" t="str">
        <x:v>Preprint</x:v>
      </x:c>
      <x:c r="F46" s="96" t="str">
        <x:v>arXiv</x:v>
      </x:c>
      <x:c r="G46" s="96" t="str">
        <x:v>2510.02373</x:v>
      </x:c>
      <x:c r="H46" s="96" t="str">
        <x:v>Defense</x:v>
      </x:c>
      <x:c r="I46" s="96" t="str">
        <x:v>Pending</x:v>
      </x:c>
      <x:c r="J46" s="96" t="str">
        <x:v>Pending</x:v>
      </x:c>
      <x:c r="K46" s="96" t="str">
        <x:f>IF(OR(I46="",J46=""),"Pending",IF(I46=J46,I46,"Conflict"))</x:f>
        <x:v>Pending</x:v>
      </x:c>
      <x:c r="L46" s="96" t="str"/>
      <x:c r="M46" s="96" t="str">
        <x:v>Downloaded</x:v>
      </x:c>
      <x:c r="N46" s="96" t="str">
        <x:v>2510.02373v1.pdf</x:v>
      </x:c>
      <x:c r="O46" s="96" t="str">
        <x:v>Pending</x:v>
      </x:c>
      <x:c r="P46" s="96" t="str">
        <x:v>Pending</x:v>
      </x:c>
      <x:c r="Q46" s="96" t="str">
        <x:v>Pending</x:v>
      </x:c>
      <x:c r="R46" s="96" t="str"/>
      <x:c r="S46" s="96" t="str">
        <x:v>High</x:v>
      </x:c>
      <x:c r="T46" s="96" t="str"/>
    </x:row>
    <x:row r="47">
      <x:c r="A47" s="96" t="n">
        <x:v>43</x:v>
      </x:c>
      <x:c r="B47" s="96" t="str">
        <x:v>TrustRAG — robust &amp; trustworthy RAG</x:v>
      </x:c>
      <x:c r="C47" s="96" t="str">
        <x:v>Zhou</x:v>
      </x:c>
      <x:c r="D47" s="96" t="n">
        <x:v>2025</x:v>
      </x:c>
      <x:c r="E47" s="96" t="str">
        <x:v>Preprint</x:v>
      </x:c>
      <x:c r="F47" s="96" t="str">
        <x:v>arXiv</x:v>
      </x:c>
      <x:c r="G47" s="96" t="str">
        <x:v>2501.00879</x:v>
      </x:c>
      <x:c r="H47" s="96" t="str">
        <x:v>Defense</x:v>
      </x:c>
      <x:c r="I47" s="96" t="str">
        <x:v>Pending</x:v>
      </x:c>
      <x:c r="J47" s="96" t="str">
        <x:v>Pending</x:v>
      </x:c>
      <x:c r="K47" s="96" t="str">
        <x:f>IF(OR(I47="",J47=""),"Pending",IF(I47=J47,I47,"Conflict"))</x:f>
        <x:v>Pending</x:v>
      </x:c>
      <x:c r="L47" s="96" t="str"/>
      <x:c r="M47" s="96" t="str">
        <x:v>Downloaded</x:v>
      </x:c>
      <x:c r="N47" s="96" t="str">
        <x:v>2501.00879v3.pdf</x:v>
      </x:c>
      <x:c r="O47" s="96" t="str">
        <x:v>Pending</x:v>
      </x:c>
      <x:c r="P47" s="96" t="str">
        <x:v>Pending</x:v>
      </x:c>
      <x:c r="Q47" s="96" t="str">
        <x:v>Pending</x:v>
      </x:c>
      <x:c r="R47" s="96" t="str"/>
      <x:c r="S47" s="96" t="str">
        <x:v>Medium</x:v>
      </x:c>
      <x:c r="T47" s="96" t="str"/>
    </x:row>
    <x:row r="48">
      <x:c r="A48" s="96" t="n">
        <x:v>44</x:v>
      </x:c>
      <x:c r="B48" s="96" t="str">
        <x:v>SeCon-RAG — semantic filtering + conflict-free RAG</x:v>
      </x:c>
      <x:c r="C48" s="96" t="str">
        <x:v>Si</x:v>
      </x:c>
      <x:c r="D48" s="96" t="n">
        <x:v>2025</x:v>
      </x:c>
      <x:c r="E48" s="96" t="str">
        <x:v>Peer-reviewed</x:v>
      </x:c>
      <x:c r="F48" s="96" t="str">
        <x:v>NeurIPS 2025</x:v>
      </x:c>
      <x:c r="G48" s="96" t="str">
        <x:v>2510.09710</x:v>
      </x:c>
      <x:c r="H48" s="96" t="str">
        <x:v>Defense</x:v>
      </x:c>
      <x:c r="I48" s="96" t="str">
        <x:v>Pending</x:v>
      </x:c>
      <x:c r="J48" s="96" t="str">
        <x:v>Pending</x:v>
      </x:c>
      <x:c r="K48" s="96" t="str">
        <x:f>IF(OR(I48="",J48=""),"Pending",IF(I48=J48,I48,"Conflict"))</x:f>
        <x:v>Pending</x:v>
      </x:c>
      <x:c r="L48" s="96" t="str"/>
      <x:c r="M48" s="96" t="str">
        <x:v>Downloaded</x:v>
      </x:c>
      <x:c r="N48" s="96" t="str">
        <x:v>NeurIPS-2025-secon-rag-a-two-stage-semantic-filtering-and-conflict-free-framework-for-trustworthy-rag-Paper-Conference.pdf</x:v>
      </x:c>
      <x:c r="O48" s="96" t="str">
        <x:v>Pending</x:v>
      </x:c>
      <x:c r="P48" s="96" t="str">
        <x:v>Pending</x:v>
      </x:c>
      <x:c r="Q48" s="96" t="str">
        <x:v>Pending</x:v>
      </x:c>
      <x:c r="R48" s="96" t="str"/>
      <x:c r="S48" s="96" t="str">
        <x:v>Medium</x:v>
      </x:c>
      <x:c r="T48" s="96" t="str"/>
    </x:row>
    <x:row r="49">
      <x:c r="A49" s="96" t="n">
        <x:v>45</x:v>
      </x:c>
      <x:c r="B49" s="96" t="str">
        <x:v>RevPRAG — poisoning detection via activations</x:v>
      </x:c>
      <x:c r="C49" s="96" t="str">
        <x:v>Tan</x:v>
      </x:c>
      <x:c r="D49" s="96" t="n">
        <x:v>2025</x:v>
      </x:c>
      <x:c r="E49" s="96" t="str">
        <x:v>Peer-reviewed</x:v>
      </x:c>
      <x:c r="F49" s="96" t="str">
        <x:v>EMNLP Findings 2025</x:v>
      </x:c>
      <x:c r="G49" s="96" t="str">
        <x:v>2411.18948</x:v>
      </x:c>
      <x:c r="H49" s="96" t="str">
        <x:v>Defense</x:v>
      </x:c>
      <x:c r="I49" s="96" t="str">
        <x:v>Pending</x:v>
      </x:c>
      <x:c r="J49" s="96" t="str">
        <x:v>Pending</x:v>
      </x:c>
      <x:c r="K49" s="96" t="str">
        <x:f>IF(OR(I49="",J49=""),"Pending",IF(I49=J49,I49,"Conflict"))</x:f>
        <x:v>Pending</x:v>
      </x:c>
      <x:c r="L49" s="96" t="str"/>
      <x:c r="M49" s="96" t="str">
        <x:v>Downloaded</x:v>
      </x:c>
      <x:c r="N49" s="96" t="str">
        <x:v>2025.findings-emnlp.698.pdf</x:v>
      </x:c>
      <x:c r="O49" s="96" t="str">
        <x:v>Pending</x:v>
      </x:c>
      <x:c r="P49" s="96" t="str">
        <x:v>Pending</x:v>
      </x:c>
      <x:c r="Q49" s="96" t="str">
        <x:v>Pending</x:v>
      </x:c>
      <x:c r="R49" s="96" t="str"/>
      <x:c r="S49" s="96" t="str">
        <x:v>Medium</x:v>
      </x:c>
      <x:c r="T49" s="96" t="str"/>
    </x:row>
    <x:row r="50">
      <x:c r="A50" s="96" t="n">
        <x:v>46</x:v>
      </x:c>
      <x:c r="B50" s="96" t="str">
        <x:v>CaMeL — defeating prompt injection by design</x:v>
      </x:c>
      <x:c r="C50" s="96" t="str">
        <x:v>Debenedetti</x:v>
      </x:c>
      <x:c r="D50" s="96" t="n">
        <x:v>2025</x:v>
      </x:c>
      <x:c r="E50" s="96" t="str">
        <x:v>Preprint</x:v>
      </x:c>
      <x:c r="F50" s="96" t="str">
        <x:v>arXiv</x:v>
      </x:c>
      <x:c r="G50" s="96" t="str">
        <x:v>2503.18813</x:v>
      </x:c>
      <x:c r="H50" s="96" t="str">
        <x:v>Defense</x:v>
      </x:c>
      <x:c r="I50" s="96" t="str">
        <x:v>Pending</x:v>
      </x:c>
      <x:c r="J50" s="96" t="str">
        <x:v>Pending</x:v>
      </x:c>
      <x:c r="K50" s="96" t="str">
        <x:f>IF(OR(I50="",J50=""),"Pending",IF(I50=J50,I50,"Conflict"))</x:f>
        <x:v>Pending</x:v>
      </x:c>
      <x:c r="L50" s="96" t="str"/>
      <x:c r="M50" s="96" t="str">
        <x:v>Downloaded</x:v>
      </x:c>
      <x:c r="N50" s="96" t="str">
        <x:v>2503.18813v2.pdf</x:v>
      </x:c>
      <x:c r="O50" s="96" t="str">
        <x:v>Pending</x:v>
      </x:c>
      <x:c r="P50" s="96" t="str">
        <x:v>Pending</x:v>
      </x:c>
      <x:c r="Q50" s="96" t="str">
        <x:v>Pending</x:v>
      </x:c>
      <x:c r="R50" s="96" t="str"/>
      <x:c r="S50" s="96" t="str">
        <x:v>High</x:v>
      </x:c>
      <x:c r="T50" s="96" t="str"/>
    </x:row>
    <x:row r="51">
      <x:c r="A51" s="96" t="n">
        <x:v>47</x:v>
      </x:c>
      <x:c r="B51" s="96" t="str">
        <x:v>FIDES — securing agents with information-flow control</x:v>
      </x:c>
      <x:c r="C51" s="96" t="str">
        <x:v>Costa</x:v>
      </x:c>
      <x:c r="D51" s="96" t="n">
        <x:v>2025</x:v>
      </x:c>
      <x:c r="E51" s="96" t="str">
        <x:v>Preprint</x:v>
      </x:c>
      <x:c r="F51" s="96" t="str">
        <x:v>arXiv</x:v>
      </x:c>
      <x:c r="G51" s="96" t="str">
        <x:v>2505.23643</x:v>
      </x:c>
      <x:c r="H51" s="96" t="str">
        <x:v>Defense</x:v>
      </x:c>
      <x:c r="I51" s="96" t="str">
        <x:v>Pending</x:v>
      </x:c>
      <x:c r="J51" s="96" t="str">
        <x:v>Pending</x:v>
      </x:c>
      <x:c r="K51" s="96" t="str">
        <x:f>IF(OR(I51="",J51=""),"Pending",IF(I51=J51,I51,"Conflict"))</x:f>
        <x:v>Pending</x:v>
      </x:c>
      <x:c r="L51" s="96" t="str"/>
      <x:c r="M51" s="96" t="str">
        <x:v>Downloaded</x:v>
      </x:c>
      <x:c r="N51" s="96" t="str">
        <x:v>2505.23643v2.pdf</x:v>
      </x:c>
      <x:c r="O51" s="96" t="str">
        <x:v>Pending</x:v>
      </x:c>
      <x:c r="P51" s="96" t="str">
        <x:v>Pending</x:v>
      </x:c>
      <x:c r="Q51" s="96" t="str">
        <x:v>Pending</x:v>
      </x:c>
      <x:c r="R51" s="96" t="str"/>
      <x:c r="S51" s="96" t="str">
        <x:v>High</x:v>
      </x:c>
      <x:c r="T51" s="96" t="str"/>
    </x:row>
    <x:row r="52">
      <x:c r="A52" s="96" t="n">
        <x:v>48</x:v>
      </x:c>
      <x:c r="B52" s="96" t="str">
        <x:v>Progent — programmable privilege control</x:v>
      </x:c>
      <x:c r="C52" s="96" t="str">
        <x:v>Shi</x:v>
      </x:c>
      <x:c r="D52" s="96" t="n">
        <x:v>2025</x:v>
      </x:c>
      <x:c r="E52" s="96" t="str">
        <x:v>Preprint</x:v>
      </x:c>
      <x:c r="F52" s="96" t="str">
        <x:v>arXiv</x:v>
      </x:c>
      <x:c r="G52" s="96" t="str">
        <x:v>2504.11703</x:v>
      </x:c>
      <x:c r="H52" s="96" t="str">
        <x:v>Defense</x:v>
      </x:c>
      <x:c r="I52" s="96" t="str">
        <x:v>Pending</x:v>
      </x:c>
      <x:c r="J52" s="96" t="str">
        <x:v>Pending</x:v>
      </x:c>
      <x:c r="K52" s="96" t="str">
        <x:f>IF(OR(I52="",J52=""),"Pending",IF(I52=J52,I52,"Conflict"))</x:f>
        <x:v>Pending</x:v>
      </x:c>
      <x:c r="L52" s="96" t="str"/>
      <x:c r="M52" s="96" t="str">
        <x:v>Downloaded</x:v>
      </x:c>
      <x:c r="N52" s="96" t="str">
        <x:v>2504.11703v3.pdf</x:v>
      </x:c>
      <x:c r="O52" s="96" t="str">
        <x:v>Pending</x:v>
      </x:c>
      <x:c r="P52" s="96" t="str">
        <x:v>Pending</x:v>
      </x:c>
      <x:c r="Q52" s="96" t="str">
        <x:v>Pending</x:v>
      </x:c>
      <x:c r="R52" s="96" t="str"/>
      <x:c r="S52" s="96" t="str">
        <x:v>Medium</x:v>
      </x:c>
      <x:c r="T52" s="96" t="str"/>
    </x:row>
    <x:row r="53">
      <x:c r="A53" s="96" t="n">
        <x:v>49</x:v>
      </x:c>
      <x:c r="B53" s="96" t="str">
        <x:v>IsolateGPT — execution isolation architecture</x:v>
      </x:c>
      <x:c r="C53" s="96" t="str">
        <x:v>Wu</x:v>
      </x:c>
      <x:c r="D53" s="96" t="n">
        <x:v>2025</x:v>
      </x:c>
      <x:c r="E53" s="96" t="str">
        <x:v>Peer-reviewed</x:v>
      </x:c>
      <x:c r="F53" s="96" t="str">
        <x:v>NDSS 2025</x:v>
      </x:c>
      <x:c r="G53" s="96" t="str">
        <x:v>2403.04960</x:v>
      </x:c>
      <x:c r="H53" s="96" t="str">
        <x:v>Defense</x:v>
      </x:c>
      <x:c r="I53" s="96" t="str">
        <x:v>Pending</x:v>
      </x:c>
      <x:c r="J53" s="96" t="str">
        <x:v>Pending</x:v>
      </x:c>
      <x:c r="K53" s="96" t="str">
        <x:f>IF(OR(I53="",J53=""),"Pending",IF(I53=J53,I53,"Conflict"))</x:f>
        <x:v>Pending</x:v>
      </x:c>
      <x:c r="L53" s="96" t="str"/>
      <x:c r="M53" s="96" t="str">
        <x:v>Downloaded</x:v>
      </x:c>
      <x:c r="N53" s="96" t="str">
        <x:v>2403.04960v2.pdf</x:v>
      </x:c>
      <x:c r="O53" s="96" t="str">
        <x:v>Pending</x:v>
      </x:c>
      <x:c r="P53" s="96" t="str">
        <x:v>Pending</x:v>
      </x:c>
      <x:c r="Q53" s="96" t="str">
        <x:v>Pending</x:v>
      </x:c>
      <x:c r="R53" s="96" t="str"/>
      <x:c r="S53" s="96" t="str">
        <x:v>Medium</x:v>
      </x:c>
      <x:c r="T53" s="96" t="str"/>
    </x:row>
    <x:row r="54">
      <x:c r="A54" s="96" t="n">
        <x:v>50</x:v>
      </x:c>
      <x:c r="B54" s="96" t="str">
        <x:v>Collaborative Memory — multi-user sharing w/ dynamic access control</x:v>
      </x:c>
      <x:c r="C54" s="96" t="str">
        <x:v>Rezazadeh</x:v>
      </x:c>
      <x:c r="D54" s="96" t="n">
        <x:v>2025</x:v>
      </x:c>
      <x:c r="E54" s="96" t="str">
        <x:v>Preprint</x:v>
      </x:c>
      <x:c r="F54" s="96" t="str">
        <x:v>arXiv</x:v>
      </x:c>
      <x:c r="G54" s="96" t="str">
        <x:v>2505.18279</x:v>
      </x:c>
      <x:c r="H54" s="96" t="str">
        <x:v>Defense</x:v>
      </x:c>
      <x:c r="I54" s="96" t="str">
        <x:v>Pending</x:v>
      </x:c>
      <x:c r="J54" s="96" t="str">
        <x:v>Pending</x:v>
      </x:c>
      <x:c r="K54" s="96" t="str">
        <x:f>IF(OR(I54="",J54=""),"Pending",IF(I54=J54,I54,"Conflict"))</x:f>
        <x:v>Pending</x:v>
      </x:c>
      <x:c r="L54" s="96" t="str"/>
      <x:c r="M54" s="96" t="str">
        <x:v>Downloaded</x:v>
      </x:c>
      <x:c r="N54" s="96" t="str">
        <x:v>2505.18279v1.pdf</x:v>
      </x:c>
      <x:c r="O54" s="96" t="str">
        <x:v>Pending</x:v>
      </x:c>
      <x:c r="P54" s="96" t="str">
        <x:v>Pending</x:v>
      </x:c>
      <x:c r="Q54" s="96" t="str">
        <x:v>Pending</x:v>
      </x:c>
      <x:c r="R54" s="96" t="str"/>
      <x:c r="S54" s="96" t="str">
        <x:v>High</x:v>
      </x:c>
      <x:c r="T54" s="96" t="str"/>
    </x:row>
    <x:row r="55">
      <x:c r="A55" s="96" t="n">
        <x:v>51</x:v>
      </x:c>
      <x:c r="B55" s="96" t="str">
        <x:v>BlindGuard — safeguarding multi-agent systems, unknown attacks</x:v>
      </x:c>
      <x:c r="C55" s="96" t="str">
        <x:v>Miao</x:v>
      </x:c>
      <x:c r="D55" s="96" t="n">
        <x:v>2025</x:v>
      </x:c>
      <x:c r="E55" s="96" t="str">
        <x:v>Preprint</x:v>
      </x:c>
      <x:c r="F55" s="96" t="str">
        <x:v>arXiv</x:v>
      </x:c>
      <x:c r="G55" s="96" t="str">
        <x:v>2508.08127</x:v>
      </x:c>
      <x:c r="H55" s="96" t="str">
        <x:v>Defense</x:v>
      </x:c>
      <x:c r="I55" s="96" t="str">
        <x:v>Pending</x:v>
      </x:c>
      <x:c r="J55" s="96" t="str">
        <x:v>Pending</x:v>
      </x:c>
      <x:c r="K55" s="96" t="str">
        <x:f>IF(OR(I55="",J55=""),"Pending",IF(I55=J55,I55,"Conflict"))</x:f>
        <x:v>Pending</x:v>
      </x:c>
      <x:c r="L55" s="96" t="str"/>
      <x:c r="M55" s="96" t="str">
        <x:v>Downloaded</x:v>
      </x:c>
      <x:c r="N55" s="96" t="str">
        <x:v>2508.08127v2.pdf</x:v>
      </x:c>
      <x:c r="O55" s="96" t="str">
        <x:v>Pending</x:v>
      </x:c>
      <x:c r="P55" s="96" t="str">
        <x:v>Pending</x:v>
      </x:c>
      <x:c r="Q55" s="96" t="str">
        <x:v>Pending</x:v>
      </x:c>
      <x:c r="R55" s="96" t="str"/>
      <x:c r="S55" s="96" t="str">
        <x:v>Medium</x:v>
      </x:c>
      <x:c r="T55" s="96" t="str"/>
    </x:row>
    <x:row r="56">
      <x:c r="A56" s="96" t="n">
        <x:v>52</x:v>
      </x:c>
      <x:c r="B56" s="96" t="str">
        <x:v>RAGForensics — traceback of poisoning to RAG</x:v>
      </x:c>
      <x:c r="C56" s="96" t="str">
        <x:v>Zhang</x:v>
      </x:c>
      <x:c r="D56" s="96" t="n">
        <x:v>2025</x:v>
      </x:c>
      <x:c r="E56" s="96" t="str">
        <x:v>Peer-reviewed</x:v>
      </x:c>
      <x:c r="F56" s="96" t="str">
        <x:v>WWW 2025</x:v>
      </x:c>
      <x:c r="G56" s="96" t="str">
        <x:v>2504.21668</x:v>
      </x:c>
      <x:c r="H56" s="96" t="str">
        <x:v>Defense</x:v>
      </x:c>
      <x:c r="I56" s="96" t="str">
        <x:v>Pending</x:v>
      </x:c>
      <x:c r="J56" s="96" t="str">
        <x:v>Pending</x:v>
      </x:c>
      <x:c r="K56" s="96" t="str">
        <x:f>IF(OR(I56="",J56=""),"Pending",IF(I56=J56,I56,"Conflict"))</x:f>
        <x:v>Pending</x:v>
      </x:c>
      <x:c r="L56" s="96" t="str"/>
      <x:c r="M56" s="96" t="str">
        <x:v>Downloaded</x:v>
      </x:c>
      <x:c r="N56" s="96" t="str">
        <x:v>2504.21668v2.pdf</x:v>
      </x:c>
      <x:c r="O56" s="96" t="str">
        <x:v>Pending</x:v>
      </x:c>
      <x:c r="P56" s="96" t="str">
        <x:v>Pending</x:v>
      </x:c>
      <x:c r="Q56" s="96" t="str">
        <x:v>Pending</x:v>
      </x:c>
      <x:c r="R56" s="96" t="str"/>
      <x:c r="S56" s="96" t="str">
        <x:v>High</x:v>
      </x:c>
      <x:c r="T56" s="96" t="str"/>
    </x:row>
    <x:row r="57">
      <x:c r="A57" s="96" t="n">
        <x:v>53</x:v>
      </x:c>
      <x:c r="B57" s="96" t="str">
        <x:v>SuperLocalMemory — privacy-preserving multi-agent memory, Bayesian trust</x:v>
      </x:c>
      <x:c r="C57" s="96" t="str">
        <x:v>Bhardwaj</x:v>
      </x:c>
      <x:c r="D57" s="96" t="n">
        <x:v>2026</x:v>
      </x:c>
      <x:c r="E57" s="96" t="str">
        <x:v>Preprint</x:v>
      </x:c>
      <x:c r="F57" s="96" t="str">
        <x:v>arXiv</x:v>
      </x:c>
      <x:c r="G57" s="96" t="str">
        <x:v>2603.02240</x:v>
      </x:c>
      <x:c r="H57" s="96" t="str">
        <x:v>Defense</x:v>
      </x:c>
      <x:c r="I57" s="96" t="str">
        <x:v>Pending</x:v>
      </x:c>
      <x:c r="J57" s="96" t="str">
        <x:v>Pending</x:v>
      </x:c>
      <x:c r="K57" s="96" t="str">
        <x:f>IF(OR(I57="",J57=""),"Pending",IF(I57=J57,I57,"Conflict"))</x:f>
        <x:v>Pending</x:v>
      </x:c>
      <x:c r="L57" s="96" t="str"/>
      <x:c r="M57" s="96" t="str">
        <x:v>Downloaded</x:v>
      </x:c>
      <x:c r="N57" s="96" t="str">
        <x:v>2603.02240v1.pdf</x:v>
      </x:c>
      <x:c r="O57" s="96" t="str">
        <x:v>Pending</x:v>
      </x:c>
      <x:c r="P57" s="96" t="str">
        <x:v>Pending</x:v>
      </x:c>
      <x:c r="Q57" s="96" t="str">
        <x:v>Pending</x:v>
      </x:c>
      <x:c r="R57" s="96" t="str"/>
      <x:c r="S57" s="96" t="str">
        <x:v>Medium</x:v>
      </x:c>
      <x:c r="T57" s="96" t="str"/>
    </x:row>
    <x:row r="58">
      <x:c r="A58" s="96" t="n">
        <x:v>54</x:v>
      </x:c>
      <x:c r="B58" s="96" t="str">
        <x:v>MEMSAD — gradient-coupled anomaly detection for memory poisoning</x:v>
      </x:c>
      <x:c r="C58" s="96" t="str">
        <x:v>Gowda</x:v>
      </x:c>
      <x:c r="D58" s="96" t="n">
        <x:v>2026</x:v>
      </x:c>
      <x:c r="E58" s="96" t="str">
        <x:v>Preprint</x:v>
      </x:c>
      <x:c r="F58" s="96" t="str">
        <x:v>arXiv</x:v>
      </x:c>
      <x:c r="G58" s="96" t="str">
        <x:v>2605.03482</x:v>
      </x:c>
      <x:c r="H58" s="96" t="str">
        <x:v>Defense</x:v>
      </x:c>
      <x:c r="I58" s="96" t="str">
        <x:v>Pending</x:v>
      </x:c>
      <x:c r="J58" s="96" t="str">
        <x:v>Pending</x:v>
      </x:c>
      <x:c r="K58" s="96" t="str">
        <x:f>IF(OR(I58="",J58=""),"Pending",IF(I58=J58,I58,"Conflict"))</x:f>
        <x:v>Pending</x:v>
      </x:c>
      <x:c r="L58" s="96" t="str"/>
      <x:c r="M58" s="96" t="str">
        <x:v>Downloaded</x:v>
      </x:c>
      <x:c r="N58" s="96" t="str">
        <x:v>2605.03482v2.pdf</x:v>
      </x:c>
      <x:c r="O58" s="96" t="str">
        <x:v>Pending</x:v>
      </x:c>
      <x:c r="P58" s="96" t="str">
        <x:v>Pending</x:v>
      </x:c>
      <x:c r="Q58" s="96" t="str">
        <x:v>Pending</x:v>
      </x:c>
      <x:c r="R58" s="96" t="str"/>
      <x:c r="S58" s="96" t="str">
        <x:v>Medium</x:v>
      </x:c>
      <x:c r="T58" s="96" t="str"/>
    </x:row>
    <x:row r="59">
      <x:c r="A59" s="96" t="n">
        <x:v>55</x:v>
      </x:c>
      <x:c r="B59" s="96" t="str">
        <x:v>Agentic Unlearning — LLM agent meets machine unlearning</x:v>
      </x:c>
      <x:c r="C59" s="96" t="str">
        <x:v>Wang</x:v>
      </x:c>
      <x:c r="D59" s="96" t="n">
        <x:v>2026</x:v>
      </x:c>
      <x:c r="E59" s="96" t="str">
        <x:v>Preprint</x:v>
      </x:c>
      <x:c r="F59" s="96" t="str">
        <x:v>arXiv</x:v>
      </x:c>
      <x:c r="G59" s="96" t="str">
        <x:v>2602.17692</x:v>
      </x:c>
      <x:c r="H59" s="96" t="str">
        <x:v>Defense</x:v>
      </x:c>
      <x:c r="I59" s="96" t="str">
        <x:v>Pending</x:v>
      </x:c>
      <x:c r="J59" s="96" t="str">
        <x:v>Pending</x:v>
      </x:c>
      <x:c r="K59" s="96" t="str">
        <x:f>IF(OR(I59="",J59=""),"Pending",IF(I59=J59,I59,"Conflict"))</x:f>
        <x:v>Pending</x:v>
      </x:c>
      <x:c r="L59" s="96" t="str"/>
      <x:c r="M59" s="96" t="str">
        <x:v>Downloaded</x:v>
      </x:c>
      <x:c r="N59" s="96" t="str">
        <x:v>2602.17692v2.pdf</x:v>
      </x:c>
      <x:c r="O59" s="96" t="str">
        <x:v>Pending</x:v>
      </x:c>
      <x:c r="P59" s="96" t="str">
        <x:v>Pending</x:v>
      </x:c>
      <x:c r="Q59" s="96" t="str">
        <x:v>Pending</x:v>
      </x:c>
      <x:c r="R59" s="96" t="str"/>
      <x:c r="S59" s="96" t="str">
        <x:v>High</x:v>
      </x:c>
      <x:c r="T59" s="96" t="str"/>
    </x:row>
    <x:row r="60">
      <x:c r="A60" s="96" t="n">
        <x:v>56</x:v>
      </x:c>
      <x:c r="B60" s="96" t="str">
        <x:v>When Machine Unlearning Meets RAG</x:v>
      </x:c>
      <x:c r="C60" s="96" t="str">
        <x:v>Wang</x:v>
      </x:c>
      <x:c r="D60" s="96" t="n">
        <x:v>2024</x:v>
      </x:c>
      <x:c r="E60" s="96" t="str">
        <x:v>Preprint</x:v>
      </x:c>
      <x:c r="F60" s="96" t="str">
        <x:v>arXiv</x:v>
      </x:c>
      <x:c r="G60" s="96" t="str">
        <x:v>2410.15267</x:v>
      </x:c>
      <x:c r="H60" s="96" t="str">
        <x:v>Defense</x:v>
      </x:c>
      <x:c r="I60" s="96" t="str">
        <x:v>Pending</x:v>
      </x:c>
      <x:c r="J60" s="96" t="str">
        <x:v>Pending</x:v>
      </x:c>
      <x:c r="K60" s="96" t="str">
        <x:f>IF(OR(I60="",J60=""),"Pending",IF(I60=J60,I60,"Conflict"))</x:f>
        <x:v>Pending</x:v>
      </x:c>
      <x:c r="L60" s="96" t="str"/>
      <x:c r="M60" s="96" t="str">
        <x:v>Downloaded</x:v>
      </x:c>
      <x:c r="N60" s="96" t="str">
        <x:v>2410.15267v2.pdf</x:v>
      </x:c>
      <x:c r="O60" s="96" t="str">
        <x:v>Pending</x:v>
      </x:c>
      <x:c r="P60" s="96" t="str">
        <x:v>Pending</x:v>
      </x:c>
      <x:c r="Q60" s="96" t="str">
        <x:v>Pending</x:v>
      </x:c>
      <x:c r="R60" s="96" t="str"/>
      <x:c r="S60" s="96" t="str">
        <x:v>High</x:v>
      </x:c>
      <x:c r="T60" s="96" t="str"/>
    </x:row>
    <x:row r="61">
      <x:c r="A61" s="96" t="n">
        <x:v>57</x:v>
      </x:c>
      <x:c r="B61" s="96" t="str">
        <x:v>LongMemEval — long-term interactive memory benchmark</x:v>
      </x:c>
      <x:c r="C61" s="96" t="str">
        <x:v>Wu</x:v>
      </x:c>
      <x:c r="D61" s="96" t="n">
        <x:v>2025</x:v>
      </x:c>
      <x:c r="E61" s="96" t="str">
        <x:v>Peer-reviewed</x:v>
      </x:c>
      <x:c r="F61" s="96" t="str">
        <x:v>ICLR 2025</x:v>
      </x:c>
      <x:c r="G61" s="96" t="str">
        <x:v>2410.10813</x:v>
      </x:c>
      <x:c r="H61" s="96" t="str">
        <x:v>Benchmark</x:v>
      </x:c>
      <x:c r="I61" s="96" t="str">
        <x:v>Pending</x:v>
      </x:c>
      <x:c r="J61" s="96" t="str">
        <x:v>Pending</x:v>
      </x:c>
      <x:c r="K61" s="96" t="str">
        <x:f>IF(OR(I61="",J61=""),"Pending",IF(I61=J61,I61,"Conflict"))</x:f>
        <x:v>Pending</x:v>
      </x:c>
      <x:c r="L61" s="96" t="str"/>
      <x:c r="M61" s="96" t="str">
        <x:v>Downloaded</x:v>
      </x:c>
      <x:c r="N61" s="96" t="str">
        <x:v>2410.10813v2.pdf</x:v>
      </x:c>
      <x:c r="O61" s="96" t="str">
        <x:v>Pending</x:v>
      </x:c>
      <x:c r="P61" s="96" t="str">
        <x:v>Pending</x:v>
      </x:c>
      <x:c r="Q61" s="96" t="str">
        <x:v>Pending</x:v>
      </x:c>
      <x:c r="R61" s="96" t="str"/>
      <x:c r="S61" s="96" t="str">
        <x:v>High</x:v>
      </x:c>
      <x:c r="T61" s="96" t="str"/>
    </x:row>
    <x:row r="62">
      <x:c r="A62" s="96" t="n">
        <x:v>58</x:v>
      </x:c>
      <x:c r="B62" s="96" t="str">
        <x:v>MemBench — comprehensive memory evaluation</x:v>
      </x:c>
      <x:c r="C62" s="96" t="str">
        <x:v>Tan</x:v>
      </x:c>
      <x:c r="D62" s="96" t="n">
        <x:v>2025</x:v>
      </x:c>
      <x:c r="E62" s="96" t="str">
        <x:v>Peer-reviewed</x:v>
      </x:c>
      <x:c r="F62" s="96" t="str">
        <x:v>ACL Findings 2025</x:v>
      </x:c>
      <x:c r="G62" s="96" t="str">
        <x:v>2506.21605</x:v>
      </x:c>
      <x:c r="H62" s="96" t="str">
        <x:v>Benchmark</x:v>
      </x:c>
      <x:c r="I62" s="96" t="str">
        <x:v>Pending</x:v>
      </x:c>
      <x:c r="J62" s="96" t="str">
        <x:v>Pending</x:v>
      </x:c>
      <x:c r="K62" s="96" t="str">
        <x:f>IF(OR(I62="",J62=""),"Pending",IF(I62=J62,I62,"Conflict"))</x:f>
        <x:v>Pending</x:v>
      </x:c>
      <x:c r="L62" s="96" t="str"/>
      <x:c r="M62" s="96" t="str">
        <x:v>Downloaded</x:v>
      </x:c>
      <x:c r="N62" s="96" t="str">
        <x:v>2025.findings-acl.989.pdf</x:v>
      </x:c>
      <x:c r="O62" s="96" t="str">
        <x:v>Pending</x:v>
      </x:c>
      <x:c r="P62" s="96" t="str">
        <x:v>Pending</x:v>
      </x:c>
      <x:c r="Q62" s="96" t="str">
        <x:v>Pending</x:v>
      </x:c>
      <x:c r="R62" s="96" t="str"/>
      <x:c r="S62" s="96" t="str">
        <x:v>High</x:v>
      </x:c>
      <x:c r="T62" s="96" t="str"/>
    </x:row>
    <x:row r="63">
      <x:c r="A63" s="96" t="n">
        <x:v>59</x:v>
      </x:c>
      <x:c r="B63" s="96" t="str">
        <x:v>Mem2ActBench — LTM utilisation in tool tasks</x:v>
      </x:c>
      <x:c r="C63" s="96" t="str">
        <x:v>Shen</x:v>
      </x:c>
      <x:c r="D63" s="96" t="n">
        <x:v>2026</x:v>
      </x:c>
      <x:c r="E63" s="96" t="str">
        <x:v>Peer-reviewed</x:v>
      </x:c>
      <x:c r="F63" s="96" t="str">
        <x:v>ACL 2026</x:v>
      </x:c>
      <x:c r="G63" s="96" t="str">
        <x:v>2601.19935</x:v>
      </x:c>
      <x:c r="H63" s="96" t="str">
        <x:v>Benchmark</x:v>
      </x:c>
      <x:c r="I63" s="96" t="str">
        <x:v>Pending</x:v>
      </x:c>
      <x:c r="J63" s="96" t="str">
        <x:v>Pending</x:v>
      </x:c>
      <x:c r="K63" s="96" t="str">
        <x:f>IF(OR(I63="",J63=""),"Pending",IF(I63=J63,I63,"Conflict"))</x:f>
        <x:v>Pending</x:v>
      </x:c>
      <x:c r="L63" s="96" t="str"/>
      <x:c r="M63" s="96" t="str">
        <x:v>Downloaded</x:v>
      </x:c>
      <x:c r="N63" s="96" t="str">
        <x:v>2026.acl-long.370.pdf</x:v>
      </x:c>
      <x:c r="O63" s="96" t="str">
        <x:v>Pending</x:v>
      </x:c>
      <x:c r="P63" s="96" t="str">
        <x:v>Pending</x:v>
      </x:c>
      <x:c r="Q63" s="96" t="str">
        <x:v>Pending</x:v>
      </x:c>
      <x:c r="R63" s="96" t="str"/>
      <x:c r="S63" s="96" t="str">
        <x:v>Medium</x:v>
      </x:c>
      <x:c r="T63" s="96" t="str"/>
    </x:row>
    <x:row r="64">
      <x:c r="A64" s="96" t="n">
        <x:v>60</x:v>
      </x:c>
      <x:c r="B64" s="96" t="str">
        <x:v>GateMem — memory governance in multi-principal shared memory</x:v>
      </x:c>
      <x:c r="C64" s="96" t="str">
        <x:v>Ren</x:v>
      </x:c>
      <x:c r="D64" s="96" t="n">
        <x:v>2026</x:v>
      </x:c>
      <x:c r="E64" s="96" t="str">
        <x:v>Preprint</x:v>
      </x:c>
      <x:c r="F64" s="96" t="str">
        <x:v>arXiv</x:v>
      </x:c>
      <x:c r="G64" s="96" t="str">
        <x:v>2606.18829</x:v>
      </x:c>
      <x:c r="H64" s="96" t="str">
        <x:v>Benchmark</x:v>
      </x:c>
      <x:c r="I64" s="96" t="str">
        <x:v>Pending</x:v>
      </x:c>
      <x:c r="J64" s="96" t="str">
        <x:v>Pending</x:v>
      </x:c>
      <x:c r="K64" s="96" t="str">
        <x:f>IF(OR(I64="",J64=""),"Pending",IF(I64=J64,I64,"Conflict"))</x:f>
        <x:v>Pending</x:v>
      </x:c>
      <x:c r="L64" s="96" t="str"/>
      <x:c r="M64" s="96" t="str">
        <x:v>Downloaded</x:v>
      </x:c>
      <x:c r="N64" s="96" t="str">
        <x:v>2606.18829v1.pdf</x:v>
      </x:c>
      <x:c r="O64" s="96" t="str">
        <x:v>Pending</x:v>
      </x:c>
      <x:c r="P64" s="96" t="str">
        <x:v>Pending</x:v>
      </x:c>
      <x:c r="Q64" s="96" t="str">
        <x:v>Pending</x:v>
      </x:c>
      <x:c r="R64" s="96" t="str"/>
      <x:c r="S64" s="96" t="str">
        <x:v>High</x:v>
      </x:c>
      <x:c r="T64" s="96" t="str"/>
    </x:row>
    <x:row r="65">
      <x:c r="A65" s="96" t="n">
        <x:v>61</x:v>
      </x:c>
      <x:c r="B65" s="96" t="str">
        <x:v>CIMemories — contextual integrity of persistent memory</x:v>
      </x:c>
      <x:c r="C65" s="96" t="str">
        <x:v>Mireshghallah</x:v>
      </x:c>
      <x:c r="D65" s="96" t="n">
        <x:v>2026</x:v>
      </x:c>
      <x:c r="E65" s="96" t="str">
        <x:v>Peer-reviewed</x:v>
      </x:c>
      <x:c r="F65" s="96" t="str">
        <x:v>ICLR 2026</x:v>
      </x:c>
      <x:c r="G65" s="96" t="str">
        <x:v>2511.14937</x:v>
      </x:c>
      <x:c r="H65" s="96" t="str">
        <x:v>Benchmark</x:v>
      </x:c>
      <x:c r="I65" s="96" t="str">
        <x:v>Pending</x:v>
      </x:c>
      <x:c r="J65" s="96" t="str">
        <x:v>Pending</x:v>
      </x:c>
      <x:c r="K65" s="96" t="str">
        <x:f>IF(OR(I65="",J65=""),"Pending",IF(I65=J65,I65,"Conflict"))</x:f>
        <x:v>Pending</x:v>
      </x:c>
      <x:c r="L65" s="96" t="str"/>
      <x:c r="M65" s="96" t="str">
        <x:v>Downloaded</x:v>
      </x:c>
      <x:c r="N65" s="96" t="str">
        <x:v>2511.14937v1.pdf</x:v>
      </x:c>
      <x:c r="O65" s="96" t="str">
        <x:v>Pending</x:v>
      </x:c>
      <x:c r="P65" s="96" t="str">
        <x:v>Pending</x:v>
      </x:c>
      <x:c r="Q65" s="96" t="str">
        <x:v>Pending</x:v>
      </x:c>
      <x:c r="R65" s="96" t="str"/>
      <x:c r="S65" s="96" t="str">
        <x:v>High</x:v>
      </x:c>
      <x:c r="T65" s="96" t="str"/>
    </x:row>
    <x:row r="66">
      <x:c r="A66" s="96" t="n">
        <x:v>62</x:v>
      </x:c>
      <x:c r="B66" s="96" t="str">
        <x:v>PersistBench — when should LTM be forgotten</x:v>
      </x:c>
      <x:c r="C66" s="96" t="str">
        <x:v>Pulipaka</x:v>
      </x:c>
      <x:c r="D66" s="96" t="n">
        <x:v>2026</x:v>
      </x:c>
      <x:c r="E66" s="96" t="str">
        <x:v>Preprint</x:v>
      </x:c>
      <x:c r="F66" s="96" t="str">
        <x:v>arXiv</x:v>
      </x:c>
      <x:c r="G66" s="96" t="str">
        <x:v>2602.01146</x:v>
      </x:c>
      <x:c r="H66" s="96" t="str">
        <x:v>Benchmark</x:v>
      </x:c>
      <x:c r="I66" s="96" t="str">
        <x:v>Pending</x:v>
      </x:c>
      <x:c r="J66" s="96" t="str">
        <x:v>Pending</x:v>
      </x:c>
      <x:c r="K66" s="96" t="str">
        <x:f>IF(OR(I66="",J66=""),"Pending",IF(I66=J66,I66,"Conflict"))</x:f>
        <x:v>Pending</x:v>
      </x:c>
      <x:c r="L66" s="96" t="str"/>
      <x:c r="M66" s="96" t="str">
        <x:v>Downloaded</x:v>
      </x:c>
      <x:c r="N66" s="96" t="str">
        <x:v>2602.01146v2.pdf</x:v>
      </x:c>
      <x:c r="O66" s="96" t="str">
        <x:v>Pending</x:v>
      </x:c>
      <x:c r="P66" s="96" t="str">
        <x:v>Pending</x:v>
      </x:c>
      <x:c r="Q66" s="96" t="str">
        <x:v>Pending</x:v>
      </x:c>
      <x:c r="R66" s="96" t="str"/>
      <x:c r="S66" s="96" t="str">
        <x:v>High</x:v>
      </x:c>
      <x:c r="T66" s="96" t="str"/>
    </x:row>
    <x:row r="67">
      <x:c r="A67" s="96" t="n">
        <x:v>63</x:v>
      </x:c>
      <x:c r="B67" s="96" t="str">
        <x:v>AgentDojo — dynamic env for prompt-injection</x:v>
      </x:c>
      <x:c r="C67" s="96" t="str">
        <x:v>Debenedetti</x:v>
      </x:c>
      <x:c r="D67" s="96" t="n">
        <x:v>2024</x:v>
      </x:c>
      <x:c r="E67" s="96" t="str">
        <x:v>Peer-reviewed</x:v>
      </x:c>
      <x:c r="F67" s="96" t="str">
        <x:v>NeurIPS D&amp;B 2024</x:v>
      </x:c>
      <x:c r="G67" s="96" t="str">
        <x:v>2406.13352</x:v>
      </x:c>
      <x:c r="H67" s="96" t="str">
        <x:v>Benchmark</x:v>
      </x:c>
      <x:c r="I67" s="96" t="str">
        <x:v>Pending</x:v>
      </x:c>
      <x:c r="J67" s="96" t="str">
        <x:v>Pending</x:v>
      </x:c>
      <x:c r="K67" s="96" t="str">
        <x:f>IF(OR(I67="",J67=""),"Pending",IF(I67=J67,I67,"Conflict"))</x:f>
        <x:v>Pending</x:v>
      </x:c>
      <x:c r="L67" s="96" t="str"/>
      <x:c r="M67" s="96" t="str">
        <x:v>Downloaded</x:v>
      </x:c>
      <x:c r="N67" s="96" t="str">
        <x:v>2406.13352v3.pdf</x:v>
      </x:c>
      <x:c r="O67" s="96" t="str">
        <x:v>Pending</x:v>
      </x:c>
      <x:c r="P67" s="96" t="str">
        <x:v>Pending</x:v>
      </x:c>
      <x:c r="Q67" s="96" t="str">
        <x:v>Pending</x:v>
      </x:c>
      <x:c r="R67" s="96" t="str"/>
      <x:c r="S67" s="96" t="str">
        <x:v>High</x:v>
      </x:c>
      <x:c r="T67" s="96" t="str"/>
    </x:row>
    <x:row r="68">
      <x:c r="A68" s="96" t="n">
        <x:v>64</x:v>
      </x:c>
      <x:c r="B68" s="96" t="str">
        <x:v>InjecAgent — indirect PI in tool-integrated agents</x:v>
      </x:c>
      <x:c r="C68" s="96" t="str">
        <x:v>Zhan</x:v>
      </x:c>
      <x:c r="D68" s="96" t="n">
        <x:v>2024</x:v>
      </x:c>
      <x:c r="E68" s="96" t="str">
        <x:v>Peer-reviewed</x:v>
      </x:c>
      <x:c r="F68" s="96" t="str">
        <x:v>ACL Findings 2024</x:v>
      </x:c>
      <x:c r="G68" s="96" t="str">
        <x:v>2403.02691</x:v>
      </x:c>
      <x:c r="H68" s="96" t="str">
        <x:v>Benchmark</x:v>
      </x:c>
      <x:c r="I68" s="96" t="str">
        <x:v>Pending</x:v>
      </x:c>
      <x:c r="J68" s="96" t="str">
        <x:v>Pending</x:v>
      </x:c>
      <x:c r="K68" s="96" t="str">
        <x:f>IF(OR(I68="",J68=""),"Pending",IF(I68=J68,I68,"Conflict"))</x:f>
        <x:v>Pending</x:v>
      </x:c>
      <x:c r="L68" s="96" t="str"/>
      <x:c r="M68" s="96" t="str">
        <x:v>Downloaded</x:v>
      </x:c>
      <x:c r="N68" s="96" t="str">
        <x:v>2024.findings-acl.624.pdf</x:v>
      </x:c>
      <x:c r="O68" s="96" t="str">
        <x:v>Pending</x:v>
      </x:c>
      <x:c r="P68" s="96" t="str">
        <x:v>Pending</x:v>
      </x:c>
      <x:c r="Q68" s="96" t="str">
        <x:v>Pending</x:v>
      </x:c>
      <x:c r="R68" s="96" t="str"/>
      <x:c r="S68" s="96" t="str">
        <x:v>High</x:v>
      </x:c>
      <x:c r="T68" s="96" t="str"/>
    </x:row>
    <x:row r="69">
      <x:c r="A69" s="96" t="n">
        <x:v>65</x:v>
      </x:c>
      <x:c r="B69" s="96" t="str">
        <x:v>Agent Security Bench (ASB)</x:v>
      </x:c>
      <x:c r="C69" s="96" t="str">
        <x:v>Zhang</x:v>
      </x:c>
      <x:c r="D69" s="96" t="n">
        <x:v>2025</x:v>
      </x:c>
      <x:c r="E69" s="96" t="str">
        <x:v>Peer-reviewed</x:v>
      </x:c>
      <x:c r="F69" s="96" t="str">
        <x:v>ICLR 2025</x:v>
      </x:c>
      <x:c r="G69" s="96" t="str">
        <x:v>2410.02644</x:v>
      </x:c>
      <x:c r="H69" s="96" t="str">
        <x:v>Benchmark</x:v>
      </x:c>
      <x:c r="I69" s="96" t="str">
        <x:v>Pending</x:v>
      </x:c>
      <x:c r="J69" s="96" t="str">
        <x:v>Pending</x:v>
      </x:c>
      <x:c r="K69" s="96" t="str">
        <x:f>IF(OR(I69="",J69=""),"Pending",IF(I69=J69,I69,"Conflict"))</x:f>
        <x:v>Pending</x:v>
      </x:c>
      <x:c r="L69" s="96" t="str"/>
      <x:c r="M69" s="96" t="str">
        <x:v>Downloaded</x:v>
      </x:c>
      <x:c r="N69" s="96" t="str">
        <x:v>7260_Agent_Security_Bench_ASB_.pdf</x:v>
      </x:c>
      <x:c r="O69" s="96" t="str">
        <x:v>Pending</x:v>
      </x:c>
      <x:c r="P69" s="96" t="str">
        <x:v>Pending</x:v>
      </x:c>
      <x:c r="Q69" s="96" t="str">
        <x:v>Pending</x:v>
      </x:c>
      <x:c r="R69" s="96" t="str"/>
      <x:c r="S69" s="96" t="str">
        <x:v>High</x:v>
      </x:c>
      <x:c r="T69" s="96" t="str"/>
    </x:row>
    <x:row r="70">
      <x:c r="A70" s="96" t="n">
        <x:v>66</x:v>
      </x:c>
      <x:c r="B70" s="96" t="str">
        <x:v>MemSyco-Bench — sycophancy in agent memory</x:v>
      </x:c>
      <x:c r="C70" s="96" t="str">
        <x:v>(MemSyco)</x:v>
      </x:c>
      <x:c r="D70" s="96" t="n">
        <x:v>2026</x:v>
      </x:c>
      <x:c r="E70" s="96" t="str">
        <x:v>Preprint</x:v>
      </x:c>
      <x:c r="F70" s="96" t="str">
        <x:v>arXiv</x:v>
      </x:c>
      <x:c r="G70" s="96" t="str">
        <x:v>2607.01071</x:v>
      </x:c>
      <x:c r="H70" s="96" t="str">
        <x:v>Benchmark</x:v>
      </x:c>
      <x:c r="I70" s="96" t="str">
        <x:v>Pending</x:v>
      </x:c>
      <x:c r="J70" s="96" t="str">
        <x:v>Pending</x:v>
      </x:c>
      <x:c r="K70" s="96" t="str">
        <x:f>IF(OR(I70="",J70=""),"Pending",IF(I70=J70,I70,"Conflict"))</x:f>
        <x:v>Pending</x:v>
      </x:c>
      <x:c r="L70" s="96" t="str"/>
      <x:c r="M70" s="96" t="str">
        <x:v>Downloaded</x:v>
      </x:c>
      <x:c r="N70" s="96" t="str">
        <x:v>2607.01071v2.pdf</x:v>
      </x:c>
      <x:c r="O70" s="96" t="str">
        <x:v>Pending</x:v>
      </x:c>
      <x:c r="P70" s="96" t="str">
        <x:v>Pending</x:v>
      </x:c>
      <x:c r="Q70" s="96" t="str">
        <x:v>Pending</x:v>
      </x:c>
      <x:c r="R70" s="96" t="str"/>
      <x:c r="S70" s="96" t="str">
        <x:v>Medium</x:v>
      </x:c>
      <x:c r="T70" s="96" t="str"/>
    </x:row>
    <x:row r="71">
      <x:c r="A71" s="96" t="n">
        <x:v>67</x:v>
      </x:c>
      <x:c r="B71" s="96" t="str">
        <x:v>AgentLAB — benchmarking agents vs long-horizon attacks</x:v>
      </x:c>
      <x:c r="C71" s="96" t="str">
        <x:v>Jiang</x:v>
      </x:c>
      <x:c r="D71" s="96" t="n">
        <x:v>2026</x:v>
      </x:c>
      <x:c r="E71" s="96" t="str">
        <x:v>Preprint</x:v>
      </x:c>
      <x:c r="F71" s="96" t="str">
        <x:v>arXiv</x:v>
      </x:c>
      <x:c r="G71" s="96" t="str">
        <x:v>2602.16901</x:v>
      </x:c>
      <x:c r="H71" s="96" t="str">
        <x:v>Benchmark</x:v>
      </x:c>
      <x:c r="I71" s="96" t="str">
        <x:v>Pending</x:v>
      </x:c>
      <x:c r="J71" s="96" t="str">
        <x:v>Pending</x:v>
      </x:c>
      <x:c r="K71" s="96" t="str">
        <x:f>IF(OR(I71="",J71=""),"Pending",IF(I71=J71,I71,"Conflict"))</x:f>
        <x:v>Pending</x:v>
      </x:c>
      <x:c r="L71" s="96" t="str"/>
      <x:c r="M71" s="96" t="str">
        <x:v>Downloaded</x:v>
      </x:c>
      <x:c r="N71" s="96" t="str">
        <x:v>2602.16901v1.pdf</x:v>
      </x:c>
      <x:c r="O71" s="96" t="str">
        <x:v>Pending</x:v>
      </x:c>
      <x:c r="P71" s="96" t="str">
        <x:v>Pending</x:v>
      </x:c>
      <x:c r="Q71" s="96" t="str">
        <x:v>Pending</x:v>
      </x:c>
      <x:c r="R71" s="96" t="str"/>
      <x:c r="S71" s="96" t="str">
        <x:v>Medium</x:v>
      </x:c>
      <x:c r="T71" s="96" t="str"/>
    </x:row>
    <x:row r="72">
      <x:c r="A72" s="96" t="n">
        <x:v>68</x:v>
      </x:c>
      <x:c r="B72" s="96" t="str">
        <x:v>Machine Unlearning</x:v>
      </x:c>
      <x:c r="C72" s="96" t="str">
        <x:v>Bourtoule</x:v>
      </x:c>
      <x:c r="D72" s="96" t="n">
        <x:v>2021</x:v>
      </x:c>
      <x:c r="E72" s="96" t="str">
        <x:v>Peer-reviewed</x:v>
      </x:c>
      <x:c r="F72" s="96" t="str">
        <x:v>IEEE S&amp;P 2021</x:v>
      </x:c>
      <x:c r="G72" s="96" t="str">
        <x:v>—</x:v>
      </x:c>
      <x:c r="H72" s="96" t="str">
        <x:v>Foundation</x:v>
      </x:c>
      <x:c r="I72" s="96" t="str">
        <x:v>Pending</x:v>
      </x:c>
      <x:c r="J72" s="96" t="str">
        <x:v>Pending</x:v>
      </x:c>
      <x:c r="K72" s="96" t="str">
        <x:f>IF(OR(I72="",J72=""),"Pending",IF(I72=J72,I72,"Conflict"))</x:f>
        <x:v>Pending</x:v>
      </x:c>
      <x:c r="L72" s="96" t="str"/>
      <x:c r="M72" s="96" t="str">
        <x:v>Downloaded</x:v>
      </x:c>
      <x:c r="N72" s="96" t="str">
        <x:v>1912.03817v3.pdf</x:v>
      </x:c>
      <x:c r="O72" s="96" t="str">
        <x:v>Pending</x:v>
      </x:c>
      <x:c r="P72" s="96" t="str">
        <x:v>Pending</x:v>
      </x:c>
      <x:c r="Q72" s="96" t="str">
        <x:v>Pending</x:v>
      </x:c>
      <x:c r="R72" s="96" t="str"/>
      <x:c r="S72" s="96" t="str">
        <x:v>High</x:v>
      </x:c>
      <x:c r="T72" s="96" t="str"/>
    </x:row>
    <x:row r="73">
      <x:c r="A73" s="96" t="n">
        <x:v>69</x:v>
      </x:c>
      <x:c r="B73" s="96" t="str">
        <x:v>TOFU — task of fictitious unlearning</x:v>
      </x:c>
      <x:c r="C73" s="96" t="str">
        <x:v>Maini</x:v>
      </x:c>
      <x:c r="D73" s="96" t="n">
        <x:v>2024</x:v>
      </x:c>
      <x:c r="E73" s="96" t="str">
        <x:v>Peer-reviewed</x:v>
      </x:c>
      <x:c r="F73" s="96" t="str">
        <x:v>COLM 2024</x:v>
      </x:c>
      <x:c r="G73" s="96" t="str">
        <x:v>2401.06121</x:v>
      </x:c>
      <x:c r="H73" s="96" t="str">
        <x:v>Foundation</x:v>
      </x:c>
      <x:c r="I73" s="96" t="str">
        <x:v>Pending</x:v>
      </x:c>
      <x:c r="J73" s="96" t="str">
        <x:v>Pending</x:v>
      </x:c>
      <x:c r="K73" s="96" t="str">
        <x:f>IF(OR(I73="",J73=""),"Pending",IF(I73=J73,I73,"Conflict"))</x:f>
        <x:v>Pending</x:v>
      </x:c>
      <x:c r="L73" s="96" t="str"/>
      <x:c r="M73" s="96" t="str">
        <x:v>Downloaded</x:v>
      </x:c>
      <x:c r="N73" s="96" t="str">
        <x:v>424_TOFU_A_Task_of_Fictitious_.pdf</x:v>
      </x:c>
      <x:c r="O73" s="96" t="str">
        <x:v>Pending</x:v>
      </x:c>
      <x:c r="P73" s="96" t="str">
        <x:v>Pending</x:v>
      </x:c>
      <x:c r="Q73" s="96" t="str">
        <x:v>Pending</x:v>
      </x:c>
      <x:c r="R73" s="96" t="str"/>
      <x:c r="S73" s="96" t="str">
        <x:v>High</x:v>
      </x:c>
      <x:c r="T73" s="96" t="str"/>
    </x:row>
    <x:row r="74">
      <x:c r="A74" s="96" t="n">
        <x:v>70</x:v>
      </x:c>
      <x:c r="B74" s="96" t="str">
        <x:v>W3C PROV-DM</x:v>
      </x:c>
      <x:c r="C74" s="96" t="str">
        <x:v>Moreau</x:v>
      </x:c>
      <x:c r="D74" s="96" t="n">
        <x:v>2013</x:v>
      </x:c>
      <x:c r="E74" s="96" t="str">
        <x:v>Standard/Reg</x:v>
      </x:c>
      <x:c r="F74" s="96" t="str">
        <x:v>W3C Recommendation</x:v>
      </x:c>
      <x:c r="G74" s="96" t="str">
        <x:v>—</x:v>
      </x:c>
      <x:c r="H74" s="96" t="str">
        <x:v>Foundation</x:v>
      </x:c>
      <x:c r="I74" s="96" t="str">
        <x:v>Pending</x:v>
      </x:c>
      <x:c r="J74" s="96" t="str">
        <x:v>Pending</x:v>
      </x:c>
      <x:c r="K74" s="96" t="str">
        <x:f>IF(OR(I74="",J74=""),"Pending",IF(I74=J74,I74,"Conflict"))</x:f>
        <x:v>Pending</x:v>
      </x:c>
      <x:c r="L74" s="96" t="str"/>
      <x:c r="M74" s="96" t="str">
        <x:v>Downloaded</x:v>
      </x:c>
      <x:c r="N74" s="96" t="str">
        <x:v>PROV-DM_ The PROV Data Model.pdf</x:v>
      </x:c>
      <x:c r="O74" s="96" t="str">
        <x:v>Pending</x:v>
      </x:c>
      <x:c r="P74" s="96" t="str">
        <x:v>Pending</x:v>
      </x:c>
      <x:c r="Q74" s="96" t="str">
        <x:v>Pending</x:v>
      </x:c>
      <x:c r="R74" s="96" t="str"/>
      <x:c r="S74" s="96" t="str">
        <x:v>High</x:v>
      </x:c>
      <x:c r="T74" s="96" t="str"/>
    </x:row>
    <x:row r="75">
      <x:c r="A75" s="96" t="n">
        <x:v>71</x:v>
      </x:c>
      <x:c r="B75" s="96" t="str">
        <x:v>Guide to Integrating Forensic Techniques into IR (SP 800-86)</x:v>
      </x:c>
      <x:c r="C75" s="96" t="str">
        <x:v>Kent</x:v>
      </x:c>
      <x:c r="D75" s="96" t="n">
        <x:v>2006</x:v>
      </x:c>
      <x:c r="E75" s="96" t="str">
        <x:v>Standard/Reg</x:v>
      </x:c>
      <x:c r="F75" s="96" t="str">
        <x:v>NIST SP 800-86</x:v>
      </x:c>
      <x:c r="G75" s="96" t="str">
        <x:v>—</x:v>
      </x:c>
      <x:c r="H75" s="96" t="str">
        <x:v>Foundation</x:v>
      </x:c>
      <x:c r="I75" s="96" t="str">
        <x:v>Pending</x:v>
      </x:c>
      <x:c r="J75" s="96" t="str">
        <x:v>Pending</x:v>
      </x:c>
      <x:c r="K75" s="96" t="str">
        <x:f>IF(OR(I75="",J75=""),"Pending",IF(I75=J75,I75,"Conflict"))</x:f>
        <x:v>Pending</x:v>
      </x:c>
      <x:c r="L75" s="96" t="str"/>
      <x:c r="M75" s="96" t="str">
        <x:v>Downloaded</x:v>
      </x:c>
      <x:c r="N75" s="96" t="str">
        <x:v>nistspecialpublication800-86.pdf</x:v>
      </x:c>
      <x:c r="O75" s="96" t="str">
        <x:v>Pending</x:v>
      </x:c>
      <x:c r="P75" s="96" t="str">
        <x:v>Pending</x:v>
      </x:c>
      <x:c r="Q75" s="96" t="str">
        <x:v>Pending</x:v>
      </x:c>
      <x:c r="R75" s="96" t="str"/>
      <x:c r="S75" s="96" t="str">
        <x:v>High</x:v>
      </x:c>
      <x:c r="T75" s="96" t="str"/>
    </x:row>
    <x:row r="76">
      <x:c r="A76" s="96" t="n">
        <x:v>72</x:v>
      </x:c>
      <x:c r="B76" s="96" t="str">
        <x:v>ISO/IEC 27043:2015 — Incident Investigation</x:v>
      </x:c>
      <x:c r="C76" s="96" t="str">
        <x:v>ISO/IEC</x:v>
      </x:c>
      <x:c r="D76" s="96" t="n">
        <x:v>2015</x:v>
      </x:c>
      <x:c r="E76" s="96" t="str">
        <x:v>Standard/Reg</x:v>
      </x:c>
      <x:c r="F76" s="96" t="str">
        <x:v>ISO/IEC 27043</x:v>
      </x:c>
      <x:c r="G76" s="96" t="str">
        <x:v>—</x:v>
      </x:c>
      <x:c r="H76" s="96" t="str">
        <x:v>Foundation</x:v>
      </x:c>
      <x:c r="I76" s="96" t="str">
        <x:v>Pending</x:v>
      </x:c>
      <x:c r="J76" s="96" t="str">
        <x:v>Pending</x:v>
      </x:c>
      <x:c r="K76" s="96" t="str">
        <x:f>IF(OR(I76="",J76=""),"Pending",IF(I76=J76,I76,"Conflict"))</x:f>
        <x:v>Pending</x:v>
      </x:c>
      <x:c r="L76" s="96" t="str"/>
      <x:c r="M76" s="96" t="str">
        <x:v>Not downloaded</x:v>
      </x:c>
      <x:c r="N76" s="96" t="str"/>
      <x:c r="O76" s="96" t="str">
        <x:v>Pending</x:v>
      </x:c>
      <x:c r="P76" s="96" t="str">
        <x:v>Pending</x:v>
      </x:c>
      <x:c r="Q76" s="96" t="str">
        <x:v>Pending</x:v>
      </x:c>
      <x:c r="R76" s="96" t="str"/>
      <x:c r="S76" s="96" t="str">
        <x:v>High</x:v>
      </x:c>
      <x:c r="T76" s="96" t="str"/>
    </x:row>
    <x:row r="77">
      <x:c r="A77" s="96" t="n">
        <x:v>73</x:v>
      </x:c>
      <x:c r="B77" s="96" t="str">
        <x:v>EU AI Act Art.12 (record-keeping)</x:v>
      </x:c>
      <x:c r="C77" s="96" t="str">
        <x:v>EU Parl. &amp; Council</x:v>
      </x:c>
      <x:c r="D77" s="96" t="n">
        <x:v>2024</x:v>
      </x:c>
      <x:c r="E77" s="96" t="str">
        <x:v>Standard/Reg</x:v>
      </x:c>
      <x:c r="F77" s="96" t="str">
        <x:v>Reg (EU) 2024/1689</x:v>
      </x:c>
      <x:c r="G77" s="96" t="str">
        <x:v>—</x:v>
      </x:c>
      <x:c r="H77" s="96" t="str">
        <x:v>Foundation</x:v>
      </x:c>
      <x:c r="I77" s="96" t="str">
        <x:v>Pending</x:v>
      </x:c>
      <x:c r="J77" s="96" t="str">
        <x:v>Pending</x:v>
      </x:c>
      <x:c r="K77" s="96" t="str">
        <x:f>IF(OR(I77="",J77=""),"Pending",IF(I77=J77,I77,"Conflict"))</x:f>
        <x:v>Pending</x:v>
      </x:c>
      <x:c r="L77" s="96" t="str"/>
      <x:c r="M77" s="96" t="str">
        <x:v>Not downloaded</x:v>
      </x:c>
      <x:c r="N77" s="96" t="str"/>
      <x:c r="O77" s="96" t="str">
        <x:v>Pending</x:v>
      </x:c>
      <x:c r="P77" s="96" t="str">
        <x:v>Pending</x:v>
      </x:c>
      <x:c r="Q77" s="96" t="str">
        <x:v>Pending</x:v>
      </x:c>
      <x:c r="R77" s="96" t="str"/>
      <x:c r="S77" s="96" t="str">
        <x:v>High</x:v>
      </x:c>
      <x:c r="T77" s="96" t="str"/>
    </x:row>
    <x:row r="78">
      <x:c r="A78" s="96" t="n">
        <x:v>74</x:v>
      </x:c>
      <x:c r="B78" s="96" t="str">
        <x:v>Certificate Transparency (RFC 6962)</x:v>
      </x:c>
      <x:c r="C78" s="96" t="str">
        <x:v>Laurie</x:v>
      </x:c>
      <x:c r="D78" s="96" t="n">
        <x:v>2013</x:v>
      </x:c>
      <x:c r="E78" s="96" t="str">
        <x:v>Standard/Reg</x:v>
      </x:c>
      <x:c r="F78" s="96" t="str">
        <x:v>IETF RFC 6962</x:v>
      </x:c>
      <x:c r="G78" s="96" t="str">
        <x:v>—</x:v>
      </x:c>
      <x:c r="H78" s="96" t="str">
        <x:v>Foundation</x:v>
      </x:c>
      <x:c r="I78" s="96" t="str">
        <x:v>Pending</x:v>
      </x:c>
      <x:c r="J78" s="96" t="str">
        <x:v>Pending</x:v>
      </x:c>
      <x:c r="K78" s="96" t="str">
        <x:f>IF(OR(I78="",J78=""),"Pending",IF(I78=J78,I78,"Conflict"))</x:f>
        <x:v>Pending</x:v>
      </x:c>
      <x:c r="L78" s="96" t="str"/>
      <x:c r="M78" s="96" t="str">
        <x:v>Not downloaded</x:v>
      </x:c>
      <x:c r="N78" s="96" t="str"/>
      <x:c r="O78" s="96" t="str">
        <x:v>Pending</x:v>
      </x:c>
      <x:c r="P78" s="96" t="str">
        <x:v>Pending</x:v>
      </x:c>
      <x:c r="Q78" s="96" t="str">
        <x:v>Pending</x:v>
      </x:c>
      <x:c r="R78" s="96" t="str"/>
      <x:c r="S78" s="96" t="str">
        <x:v>High</x:v>
      </x:c>
      <x:c r="T78" s="96" t="str"/>
    </x:row>
    <x:row r="79">
      <x:c r="A79" s="96" t="n">
        <x:v>75</x:v>
      </x:c>
      <x:c r="B79" s="96" t="str">
        <x:v>A Ten-Step Process for Forensic Readiness</x:v>
      </x:c>
      <x:c r="C79" s="96" t="str">
        <x:v>Rowlingson</x:v>
      </x:c>
      <x:c r="D79" s="96" t="n">
        <x:v>2004</x:v>
      </x:c>
      <x:c r="E79" s="96" t="str">
        <x:v>Peer-reviewed</x:v>
      </x:c>
      <x:c r="F79" s="96" t="str">
        <x:v>IJDE 2(3)</x:v>
      </x:c>
      <x:c r="G79" s="96" t="str">
        <x:v>—</x:v>
      </x:c>
      <x:c r="H79" s="96" t="str">
        <x:v>Foundation</x:v>
      </x:c>
      <x:c r="I79" s="96" t="str">
        <x:v>Pending</x:v>
      </x:c>
      <x:c r="J79" s="96" t="str">
        <x:v>Pending</x:v>
      </x:c>
      <x:c r="K79" s="96" t="str">
        <x:f>IF(OR(I79="",J79=""),"Pending",IF(I79=J79,I79,"Conflict"))</x:f>
        <x:v>Pending</x:v>
      </x:c>
      <x:c r="L79" s="96" t="str"/>
      <x:c r="M79" s="96" t="str">
        <x:v>Not downloaded</x:v>
      </x:c>
      <x:c r="N79" s="96" t="str"/>
      <x:c r="O79" s="96" t="str">
        <x:v>Pending</x:v>
      </x:c>
      <x:c r="P79" s="96" t="str">
        <x:v>Pending</x:v>
      </x:c>
      <x:c r="Q79" s="96" t="str">
        <x:v>Pending</x:v>
      </x:c>
      <x:c r="R79" s="96" t="str"/>
      <x:c r="S79" s="96" t="str">
        <x:v>High</x:v>
      </x:c>
      <x:c r="T79" s="96" t="str"/>
    </x:row>
    <x:row r="80">
      <x:c r="A80" s="96" t="n">
        <x:v>76</x:v>
      </x:c>
      <x:c r="B80" s="96" t="str">
        <x:v>How to Time-stamp a Digital Document</x:v>
      </x:c>
      <x:c r="C80" s="96" t="str">
        <x:v>Haber</x:v>
      </x:c>
      <x:c r="D80" s="96" t="n">
        <x:v>1991</x:v>
      </x:c>
      <x:c r="E80" s="96" t="str">
        <x:v>Peer-reviewed</x:v>
      </x:c>
      <x:c r="F80" s="96" t="str">
        <x:v>J. Cryptology</x:v>
      </x:c>
      <x:c r="G80" s="96" t="str">
        <x:v>—</x:v>
      </x:c>
      <x:c r="H80" s="96" t="str">
        <x:v>Foundation</x:v>
      </x:c>
      <x:c r="I80" s="96" t="str">
        <x:v>Pending</x:v>
      </x:c>
      <x:c r="J80" s="96" t="str">
        <x:v>Pending</x:v>
      </x:c>
      <x:c r="K80" s="96" t="str">
        <x:f>IF(OR(I80="",J80=""),"Pending",IF(I80=J80,I80,"Conflict"))</x:f>
        <x:v>Pending</x:v>
      </x:c>
      <x:c r="L80" s="96" t="str"/>
      <x:c r="M80" s="96" t="str">
        <x:v>Not downloaded</x:v>
      </x:c>
      <x:c r="N80" s="96" t="str"/>
      <x:c r="O80" s="96" t="str">
        <x:v>Pending</x:v>
      </x:c>
      <x:c r="P80" s="96" t="str">
        <x:v>Pending</x:v>
      </x:c>
      <x:c r="Q80" s="96" t="str">
        <x:v>Pending</x:v>
      </x:c>
      <x:c r="R80" s="96" t="str"/>
      <x:c r="S80" s="96" t="str">
        <x:v>Low</x:v>
      </x:c>
      <x:c r="T80" s="96" t="str"/>
    </x:row>
    <x:row r="81">
      <x:c r="A81" s="96" t="n">
        <x:v>77</x:v>
      </x:c>
      <x:c r="B81" s="96" t="str">
        <x:v>Efficient Data Structures for Tamper-evident Logging</x:v>
      </x:c>
      <x:c r="C81" s="96" t="str">
        <x:v>Crosby</x:v>
      </x:c>
      <x:c r="D81" s="96" t="n">
        <x:v>2009</x:v>
      </x:c>
      <x:c r="E81" s="96" t="str">
        <x:v>Peer-reviewed</x:v>
      </x:c>
      <x:c r="F81" s="96" t="str">
        <x:v>USENIX Sec 2009</x:v>
      </x:c>
      <x:c r="G81" s="96" t="str">
        <x:v>—</x:v>
      </x:c>
      <x:c r="H81" s="96" t="str">
        <x:v>Foundation</x:v>
      </x:c>
      <x:c r="I81" s="96" t="str">
        <x:v>Pending</x:v>
      </x:c>
      <x:c r="J81" s="96" t="str">
        <x:v>Pending</x:v>
      </x:c>
      <x:c r="K81" s="96" t="str">
        <x:f>IF(OR(I81="",J81=""),"Pending",IF(I81=J81,I81,"Conflict"))</x:f>
        <x:v>Pending</x:v>
      </x:c>
      <x:c r="L81" s="96" t="str"/>
      <x:c r="M81" s="96" t="str">
        <x:v>Downloaded</x:v>
      </x:c>
      <x:c r="N81" s="96" t="str">
        <x:v>crosby.pdf</x:v>
      </x:c>
      <x:c r="O81" s="96" t="str">
        <x:v>Pending</x:v>
      </x:c>
      <x:c r="P81" s="96" t="str">
        <x:v>Pending</x:v>
      </x:c>
      <x:c r="Q81" s="96" t="str">
        <x:v>Pending</x:v>
      </x:c>
      <x:c r="R81" s="96" t="str"/>
      <x:c r="S81" s="96" t="str">
        <x:v>High</x:v>
      </x:c>
      <x:c r="T81" s="96" t="str"/>
    </x:row>
    <x:row r="82">
      <x:c r="A82" s="96" t="n">
        <x:v>78</x:v>
      </x:c>
      <x:c r="B82" s="96" t="str">
        <x:v>Comparison of Commercial &amp; Military Security Policies</x:v>
      </x:c>
      <x:c r="C82" s="96" t="str">
        <x:v>Clark</x:v>
      </x:c>
      <x:c r="D82" s="96" t="n">
        <x:v>1987</x:v>
      </x:c>
      <x:c r="E82" s="96" t="str">
        <x:v>Peer-reviewed</x:v>
      </x:c>
      <x:c r="F82" s="96" t="str">
        <x:v>IEEE S&amp;P 1987</x:v>
      </x:c>
      <x:c r="G82" s="96" t="str">
        <x:v>—</x:v>
      </x:c>
      <x:c r="H82" s="96" t="str">
        <x:v>Foundation</x:v>
      </x:c>
      <x:c r="I82" s="96" t="str">
        <x:v>Pending</x:v>
      </x:c>
      <x:c r="J82" s="96" t="str">
        <x:v>Pending</x:v>
      </x:c>
      <x:c r="K82" s="96" t="str">
        <x:f>IF(OR(I82="",J82=""),"Pending",IF(I82=J82,I82,"Conflict"))</x:f>
        <x:v>Pending</x:v>
      </x:c>
      <x:c r="L82" s="96" t="str"/>
      <x:c r="M82" s="96" t="str">
        <x:v>Downloaded</x:v>
      </x:c>
      <x:c r="N82" s="96" t="str">
        <x:v>A_Comparison_of_Commercial_and_Military.pdf</x:v>
      </x:c>
      <x:c r="O82" s="96" t="str">
        <x:v>Pending</x:v>
      </x:c>
      <x:c r="P82" s="96" t="str">
        <x:v>Pending</x:v>
      </x:c>
      <x:c r="Q82" s="96" t="str">
        <x:v>Pending</x:v>
      </x:c>
      <x:c r="R82" s="96" t="str"/>
      <x:c r="S82" s="96" t="str">
        <x:v>Low</x:v>
      </x:c>
      <x:c r="T82" s="96" t="str"/>
    </x:row>
    <x:row r="83">
      <x:c r="A83" s="96" t="n">
        <x:v>79</x:v>
      </x:c>
      <x:c r="B83" s="96" t="str">
        <x:v>A Lattice Model of Secure Information Flow</x:v>
      </x:c>
      <x:c r="C83" s="96" t="str">
        <x:v>Denning</x:v>
      </x:c>
      <x:c r="D83" s="96" t="n">
        <x:v>1976</x:v>
      </x:c>
      <x:c r="E83" s="96" t="str">
        <x:v>Peer-reviewed</x:v>
      </x:c>
      <x:c r="F83" s="96" t="str">
        <x:v>CACM 19</x:v>
      </x:c>
      <x:c r="G83" s="96" t="str">
        <x:v>—</x:v>
      </x:c>
      <x:c r="H83" s="96" t="str">
        <x:v>Foundation</x:v>
      </x:c>
      <x:c r="I83" s="96" t="str">
        <x:v>Pending</x:v>
      </x:c>
      <x:c r="J83" s="96" t="str">
        <x:v>Pending</x:v>
      </x:c>
      <x:c r="K83" s="96" t="str">
        <x:f>IF(OR(I83="",J83=""),"Pending",IF(I83=J83,I83,"Conflict"))</x:f>
        <x:v>Pending</x:v>
      </x:c>
      <x:c r="L83" s="96" t="str"/>
      <x:c r="M83" s="96" t="str">
        <x:v>Downloaded</x:v>
      </x:c>
      <x:c r="N83" s="96" t="str">
        <x:v>360051.360056.pdf</x:v>
      </x:c>
      <x:c r="O83" s="96" t="str">
        <x:v>Pending</x:v>
      </x:c>
      <x:c r="P83" s="96" t="str">
        <x:v>Pending</x:v>
      </x:c>
      <x:c r="Q83" s="96" t="str">
        <x:v>Pending</x:v>
      </x:c>
      <x:c r="R83" s="96" t="str"/>
      <x:c r="S83" s="96" t="str">
        <x:v>Low</x:v>
      </x:c>
      <x:c r="T83" s="96" t="str"/>
    </x:row>
    <x:row r="84">
      <x:c r="A84" s="96" t="n">
        <x:v>80</x:v>
      </x:c>
      <x:c r="B84" s="96" t="str">
        <x:v>Why Do Multi-Agent LLM Systems Fail? (MAST)</x:v>
      </x:c>
      <x:c r="C84" s="96" t="str">
        <x:v>Cemri</x:v>
      </x:c>
      <x:c r="D84" s="96" t="n">
        <x:v>2025</x:v>
      </x:c>
      <x:c r="E84" s="96" t="str">
        <x:v>Preprint</x:v>
      </x:c>
      <x:c r="F84" s="96" t="str">
        <x:v>arXiv</x:v>
      </x:c>
      <x:c r="G84" s="96" t="str">
        <x:v>2503.13657</x:v>
      </x:c>
      <x:c r="H84" s="96" t="str">
        <x:v>Foundation</x:v>
      </x:c>
      <x:c r="I84" s="96" t="str">
        <x:v>Pending</x:v>
      </x:c>
      <x:c r="J84" s="96" t="str">
        <x:v>Pending</x:v>
      </x:c>
      <x:c r="K84" s="96" t="str">
        <x:f>IF(OR(I84="",J84=""),"Pending",IF(I84=J84,I84,"Conflict"))</x:f>
        <x:v>Pending</x:v>
      </x:c>
      <x:c r="L84" s="96" t="str"/>
      <x:c r="M84" s="96" t="str">
        <x:v>Downloaded</x:v>
      </x:c>
      <x:c r="N84" s="96" t="str">
        <x:v>2503.13657v3.pdf</x:v>
      </x:c>
      <x:c r="O84" s="96" t="str">
        <x:v>Pending</x:v>
      </x:c>
      <x:c r="P84" s="96" t="str">
        <x:v>Pending</x:v>
      </x:c>
      <x:c r="Q84" s="96" t="str">
        <x:v>Pending</x:v>
      </x:c>
      <x:c r="R84" s="96" t="str"/>
      <x:c r="S84" s="96" t="str">
        <x:v>High</x:v>
      </x:c>
      <x:c r="T84" s="96" t="str"/>
    </x:row>
    <x:row r="85">
      <x:c r="A85" s="96" t="n">
        <x:v>81</x:v>
      </x:c>
      <x:c r="B85" s="96" t="str">
        <x:v>PRISMA 2020 Statement</x:v>
      </x:c>
      <x:c r="C85" s="96" t="str">
        <x:v>Page</x:v>
      </x:c>
      <x:c r="D85" s="96" t="n">
        <x:v>2021</x:v>
      </x:c>
      <x:c r="E85" s="96" t="str">
        <x:v>Peer-reviewed</x:v>
      </x:c>
      <x:c r="F85" s="96" t="str">
        <x:v>BMJ 372:n71</x:v>
      </x:c>
      <x:c r="G85" s="96" t="str">
        <x:v>—</x:v>
      </x:c>
      <x:c r="H85" s="96" t="str">
        <x:v>Foundation</x:v>
      </x:c>
      <x:c r="I85" s="96" t="str">
        <x:v>Pending</x:v>
      </x:c>
      <x:c r="J85" s="96" t="str">
        <x:v>Pending</x:v>
      </x:c>
      <x:c r="K85" s="96" t="str">
        <x:f>IF(OR(I85="",J85=""),"Pending",IF(I85=J85,I85,"Conflict"))</x:f>
        <x:v>Pending</x:v>
      </x:c>
      <x:c r="L85" s="96" t="str"/>
      <x:c r="M85" s="96" t="str">
        <x:v>Not downloaded</x:v>
      </x:c>
      <x:c r="N85" s="96" t="str"/>
      <x:c r="O85" s="96" t="str">
        <x:v>Pending</x:v>
      </x:c>
      <x:c r="P85" s="96" t="str">
        <x:v>Pending</x:v>
      </x:c>
      <x:c r="Q85" s="96" t="str">
        <x:v>Pending</x:v>
      </x:c>
      <x:c r="R85" s="96" t="str"/>
      <x:c r="S85" s="96" t="str">
        <x:v>Low</x:v>
      </x:c>
      <x:c r="T85" s="96" t="str"/>
    </x:row>
    <x:row r="86">
      <x:c r="A86" s="96" t="n">
        <x:v>82</x:v>
      </x:c>
      <x:c r="B86" s="96" t="str">
        <x:v>PRISMA-ScR (scoping reviews)</x:v>
      </x:c>
      <x:c r="C86" s="96" t="str">
        <x:v>Tricco</x:v>
      </x:c>
      <x:c r="D86" s="96" t="n">
        <x:v>2018</x:v>
      </x:c>
      <x:c r="E86" s="96" t="str">
        <x:v>Peer-reviewed</x:v>
      </x:c>
      <x:c r="F86" s="96" t="str">
        <x:v>Ann Intern Med 169</x:v>
      </x:c>
      <x:c r="G86" s="96" t="str">
        <x:v>—</x:v>
      </x:c>
      <x:c r="H86" s="96" t="str">
        <x:v>Foundation</x:v>
      </x:c>
      <x:c r="I86" s="96" t="str">
        <x:v>Pending</x:v>
      </x:c>
      <x:c r="J86" s="96" t="str">
        <x:v>Pending</x:v>
      </x:c>
      <x:c r="K86" s="96" t="str">
        <x:f>IF(OR(I86="",J86=""),"Pending",IF(I86=J86,I86,"Conflict"))</x:f>
        <x:v>Pending</x:v>
      </x:c>
      <x:c r="L86" s="96" t="str"/>
      <x:c r="M86" s="96" t="str">
        <x:v>Not downloaded</x:v>
      </x:c>
      <x:c r="N86" s="96" t="str"/>
      <x:c r="O86" s="96" t="str">
        <x:v>Pending</x:v>
      </x:c>
      <x:c r="P86" s="96" t="str">
        <x:v>Pending</x:v>
      </x:c>
      <x:c r="Q86" s="96" t="str">
        <x:v>Pending</x:v>
      </x:c>
      <x:c r="R86" s="96" t="str"/>
      <x:c r="S86" s="96" t="str">
        <x:v>Low</x:v>
      </x:c>
      <x:c r="T86" s="96" t="str"/>
    </x:row>
  </x:sheetData>
  <x:mergeCells>
    <x:mergeCell ref="A1:T1"/>
    <x:mergeCell ref="A2:T2"/>
  </x:mergeCells>
  <x:conditionalFormatting sqref="K5:K86">
    <x:cfRule type="expression" dxfId="0" priority="1">
      <x:formula>K5="Conflict"</x:formula>
    </x:cfRule>
  </x:conditionalFormatting>
  <x:conditionalFormatting sqref="Q5:Q86">
    <x:cfRule type="expression" dxfId="1" priority="2">
      <x:formula>Q5="Include"</x:formula>
    </x:cfRule>
    <x:cfRule type="expression" dxfId="2" priority="3">
      <x:formula>Q5="Exclude"</x:formula>
    </x:cfRule>
  </x:conditionalFormatting>
  <x:conditionalFormatting sqref="M5:M86">
    <x:cfRule type="expression" dxfId="3" priority="4">
      <x:formula>M5="Downloaded"</x:formula>
    </x:cfRule>
  </x:conditionalFormatting>
  <x:dataValidations count="4">
    <x:dataValidation type="list" sqref="I5:J86">
      <x:formula1>"Pending,Include,Exclude,Maybe"</x:formula1>
    </x:dataValidation>
    <x:dataValidation type="list" sqref="M5:M86">
      <x:formula1>"Not downloaded,Downloaded,PDF unavailable,Duplicate,Not required"</x:formula1>
    </x:dataValidation>
    <x:dataValidation type="list" sqref="O5:Q86">
      <x:formula1>"Pending,Include,Exclude,Conflict"</x:formula1>
    </x:dataValidation>
    <x:dataValidation type="list" sqref="S5:S86">
      <x:formula1>"High,Medium,Low"</x:formula1>
    </x:dataValidation>
  </x:dataValidations>
  <x:pageMargins left="0.7" right="0.7" top="0.75" bottom="0.75" header="0.3" footer="0.3"/>
  <x:tableParts count="1">
    <x:tablePart xmlns:r="http://schemas.openxmlformats.org/officeDocument/2006/relationships" r:id="R4e4a6e12a0d34552"/>
  </x:tableParts>
</x:worksheet>
</file>

<file path=xl/worksheets/sheet10.xml><?xml version="1.0" encoding="utf-8"?>
<x:worksheet xmlns:x="http://schemas.openxmlformats.org/spreadsheetml/2006/main">
  <x:sheetFormatPr defaultRowHeight="15"/>
  <x:cols>
    <x:col min="1" max="1" width="9" hidden="0" customWidth="1"/>
    <x:col min="3" max="3" width="9" hidden="0" customWidth="1"/>
    <x:col min="2" max="2" width="30" hidden="0" customWidth="1"/>
    <x:col min="20" max="20" width="30" hidden="0" customWidth="1"/>
    <x:col min="21" max="21" width="30" hidden="0" customWidth="1"/>
    <x:col min="22" max="22" width="30" hidden="0" customWidth="1"/>
    <x:col min="23" max="23" width="30" hidden="0" customWidth="1"/>
    <x:col min="31" max="31" width="30" hidden="0" customWidth="1"/>
    <x:col min="34" max="34" width="3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2" max="32" width="18" hidden="0" customWidth="1"/>
    <x:col min="33" max="33" width="18" hidden="0" customWidth="1"/>
  </x:cols>
  <x:sheetData>
    <x:row r="1">
      <x:c r="A1" s="83" t="str">
        <x:v>Primary-Study Data Extraction Form</x:v>
      </x:c>
      <x:c r="B1" s="83"/>
      <x:c r="C1" s="83"/>
      <x:c r="D1" s="83"/>
      <x:c r="E1" s="83"/>
      <x:c r="F1" s="83"/>
      <x:c r="G1" s="83"/>
      <x:c r="H1" s="83"/>
      <x:c r="I1" s="83"/>
      <x:c r="J1" s="83"/>
      <x:c r="K1" s="83"/>
      <x:c r="L1" s="83"/>
      <x:c r="M1" s="83"/>
      <x:c r="N1" s="83"/>
      <x:c r="O1" s="83"/>
      <x:c r="P1" s="83"/>
      <x:c r="Q1" s="83"/>
      <x:c r="R1" s="83"/>
      <x:c r="S1" s="83"/>
      <x:c r="T1" s="83"/>
      <x:c r="U1" s="83"/>
      <x:c r="V1" s="83"/>
      <x:c r="W1" s="83"/>
      <x:c r="X1" s="83"/>
      <x:c r="Y1" s="83"/>
      <x:c r="Z1" s="83"/>
      <x:c r="AA1" s="83"/>
      <x:c r="AB1" s="83"/>
      <x:c r="AC1" s="83"/>
      <x:c r="AD1" s="83"/>
      <x:c r="AE1" s="83"/>
      <x:c r="AF1" s="83"/>
      <x:c r="AG1" s="83"/>
      <x:c r="AH1" s="83"/>
    </x:row>
    <x:row r="2">
      <x:c r="A2" s="99" t="str">
        <x:v>Populate after full-text inclusion. One row per primary study; preserve exact terminology and quantitative results from the paper.</x:v>
      </x:c>
      <x:c r="B2" s="99"/>
      <x:c r="C2" s="99"/>
      <x:c r="D2" s="99"/>
      <x:c r="E2" s="99"/>
      <x:c r="F2" s="99"/>
      <x:c r="G2" s="99"/>
      <x:c r="H2" s="99"/>
      <x:c r="I2" s="99"/>
      <x:c r="J2" s="99"/>
      <x:c r="K2" s="99"/>
      <x:c r="L2" s="99"/>
      <x:c r="M2" s="99"/>
      <x:c r="N2" s="99"/>
      <x:c r="O2" s="99"/>
      <x:c r="P2" s="99"/>
      <x:c r="Q2" s="99"/>
      <x:c r="R2" s="99"/>
      <x:c r="S2" s="99"/>
      <x:c r="T2" s="99"/>
      <x:c r="U2" s="99"/>
      <x:c r="V2" s="99"/>
      <x:c r="W2" s="99"/>
      <x:c r="X2" s="99"/>
      <x:c r="Y2" s="99"/>
      <x:c r="Z2" s="99"/>
      <x:c r="AA2" s="99"/>
      <x:c r="AB2" s="99"/>
      <x:c r="AC2" s="99"/>
      <x:c r="AD2" s="99"/>
      <x:c r="AE2" s="99"/>
      <x:c r="AF2" s="99"/>
      <x:c r="AG2" s="99"/>
      <x:c r="AH2" s="99"/>
    </x:row>
    <x:row r="4">
      <x:c r="A4" s="92" t="str">
        <x:v>Study ID</x:v>
      </x:c>
      <x:c r="B4" s="92" t="str">
        <x:v>Short citation / method</x:v>
      </x:c>
      <x:c r="C4" s="92" t="str">
        <x:v>Year</x:v>
      </x:c>
      <x:c r="D4" s="92" t="str">
        <x:v>Publication status</x:v>
      </x:c>
      <x:c r="E4" s="92" t="str">
        <x:v>Evidence group</x:v>
      </x:c>
      <x:c r="F4" s="92" t="str">
        <x:v>Final inclusion</x:v>
      </x:c>
      <x:c r="G4" s="92" t="str">
        <x:v>Agent setting</x:v>
      </x:c>
      <x:c r="H4" s="92" t="str">
        <x:v>Memory form</x:v>
      </x:c>
      <x:c r="I4" s="92" t="str">
        <x:v>Storage / representation</x:v>
      </x:c>
      <x:c r="J4" s="92" t="str">
        <x:v>Memory write mechanism</x:v>
      </x:c>
      <x:c r="K4" s="92" t="str">
        <x:v>Retrieval mechanism</x:v>
      </x:c>
      <x:c r="L4" s="92" t="str">
        <x:v>Threat / defence mechanism</x:v>
      </x:c>
      <x:c r="M4" s="92" t="str">
        <x:v>Attacker access / trust assumption</x:v>
      </x:c>
      <x:c r="N4" s="92" t="str">
        <x:v>Lifecycle phase</x:v>
      </x:c>
      <x:c r="O4" s="92" t="str">
        <x:v>Activation mode</x:v>
      </x:c>
      <x:c r="P4" s="92" t="str">
        <x:v>Propagation scope</x:v>
      </x:c>
      <x:c r="Q4" s="92" t="str">
        <x:v>Models / systems</x:v>
      </x:c>
      <x:c r="R4" s="92" t="str">
        <x:v>Dataset / benchmark</x:v>
      </x:c>
      <x:c r="S4" s="92" t="str">
        <x:v>Evaluation metrics</x:v>
      </x:c>
      <x:c r="T4" s="92" t="str">
        <x:v>Key quantitative findings</x:v>
      </x:c>
      <x:c r="U4" s="92" t="str">
        <x:v>Forensic artefacts available</x:v>
      </x:c>
      <x:c r="V4" s="92" t="str">
        <x:v>Evidence left by incident</x:v>
      </x:c>
      <x:c r="W4" s="92" t="str">
        <x:v>Evidence obscured / destroyed</x:v>
      </x:c>
      <x:c r="X4" s="92" t="str">
        <x:v>Provenance support</x:v>
      </x:c>
      <x:c r="Y4" s="92" t="str">
        <x:v>Source attribution</x:v>
      </x:c>
      <x:c r="Z4" s="92" t="str">
        <x:v>Causal reconstruction</x:v>
      </x:c>
      <x:c r="AA4" s="92" t="str">
        <x:v>Blast-radius analysis</x:v>
      </x:c>
      <x:c r="AB4" s="92" t="str">
        <x:v>Recovery / rollback</x:v>
      </x:c>
      <x:c r="AC4" s="92" t="str">
        <x:v>Post-recovery validation</x:v>
      </x:c>
      <x:c r="AD4" s="92" t="str">
        <x:v>Code / data available</x:v>
      </x:c>
      <x:c r="AE4" s="92" t="str">
        <x:v>Main limitations</x:v>
      </x:c>
      <x:c r="AF4" s="92" t="str">
        <x:v>Extractor</x:v>
      </x:c>
      <x:c r="AG4" s="92" t="str">
        <x:v>Extraction status</x:v>
      </x:c>
      <x:c r="AH4" s="92" t="str">
        <x:v>Verification notes</x:v>
      </x:c>
    </x:row>
    <x:row r="5">
      <x:c r="A5" s="96" t="n">
        <x:v>10</x:v>
      </x:c>
      <x:c r="B5" s="96" t="str">
        <x:v>AgentPoison — poisoning memory/KB</x:v>
      </x:c>
      <x:c r="C5" s="96" t="n">
        <x:v>2024</x:v>
      </x:c>
      <x:c r="D5" s="96" t="str">
        <x:v>Peer-reviewed</x:v>
      </x:c>
      <x:c r="E5" s="96" t="str">
        <x:v>Attack</x:v>
      </x:c>
      <x:c r="F5" s="96" t="str">
        <x:v>Pending</x:v>
      </x:c>
      <x:c r="G5" s="96" t="str"/>
      <x:c r="H5" s="96" t="str"/>
      <x:c r="I5" s="96" t="str"/>
      <x:c r="J5" s="96" t="str"/>
      <x:c r="K5" s="96" t="str"/>
      <x:c r="L5" s="96" t="str"/>
      <x:c r="M5" s="96" t="str"/>
      <x:c r="N5" s="96" t="str"/>
      <x:c r="O5" s="96" t="str"/>
      <x:c r="P5" s="96" t="str"/>
      <x:c r="Q5" s="96" t="str"/>
      <x:c r="R5" s="96" t="str"/>
      <x:c r="S5" s="96" t="str"/>
      <x:c r="T5" s="96" t="str"/>
      <x:c r="U5" s="96" t="str"/>
      <x:c r="V5" s="96" t="str"/>
      <x:c r="W5" s="96" t="str"/>
      <x:c r="X5" s="96" t="str"/>
      <x:c r="Y5" s="96" t="str"/>
      <x:c r="Z5" s="96" t="str"/>
      <x:c r="AA5" s="96" t="str"/>
      <x:c r="AB5" s="96" t="str"/>
      <x:c r="AC5" s="96" t="str"/>
      <x:c r="AD5" s="96" t="str"/>
      <x:c r="AE5" s="96" t="str"/>
      <x:c r="AF5" s="96" t="str"/>
      <x:c r="AG5" s="96" t="str">
        <x:v>Not started</x:v>
      </x:c>
      <x:c r="AH5" s="96" t="str"/>
    </x:row>
    <x:row r="6">
      <x:c r="A6" s="96" t="n">
        <x:v>11</x:v>
      </x:c>
      <x:c r="B6" s="96" t="str">
        <x:v>MINJA — memory injection, query-only</x:v>
      </x:c>
      <x:c r="C6" s="96" t="n">
        <x:v>2025</x:v>
      </x:c>
      <x:c r="D6" s="96" t="str">
        <x:v>Peer-reviewed</x:v>
      </x:c>
      <x:c r="E6" s="96" t="str">
        <x:v>Attack</x:v>
      </x:c>
      <x:c r="F6" s="96" t="str">
        <x:v>Pending</x:v>
      </x:c>
      <x:c r="G6" s="96" t="str"/>
      <x:c r="H6" s="96" t="str"/>
      <x:c r="I6" s="96" t="str"/>
      <x:c r="J6" s="96" t="str"/>
      <x:c r="K6" s="96" t="str"/>
      <x:c r="L6" s="96" t="str"/>
      <x:c r="M6" s="96" t="str"/>
      <x:c r="N6" s="96" t="str"/>
      <x:c r="O6" s="96" t="str"/>
      <x:c r="P6" s="96" t="str"/>
      <x:c r="Q6" s="96" t="str"/>
      <x:c r="R6" s="96" t="str"/>
      <x:c r="S6" s="96" t="str"/>
      <x:c r="T6" s="96" t="str"/>
      <x:c r="U6" s="96" t="str"/>
      <x:c r="V6" s="96" t="str"/>
      <x:c r="W6" s="96" t="str"/>
      <x:c r="X6" s="96" t="str"/>
      <x:c r="Y6" s="96" t="str"/>
      <x:c r="Z6" s="96" t="str"/>
      <x:c r="AA6" s="96" t="str"/>
      <x:c r="AB6" s="96" t="str"/>
      <x:c r="AC6" s="96" t="str"/>
      <x:c r="AD6" s="96" t="str"/>
      <x:c r="AE6" s="96" t="str"/>
      <x:c r="AF6" s="96" t="str"/>
      <x:c r="AG6" s="96" t="str">
        <x:v>Not started</x:v>
      </x:c>
      <x:c r="AH6" s="96" t="str"/>
    </x:row>
    <x:row r="7">
      <x:c r="A7" s="96" t="n">
        <x:v>12</x:v>
      </x:c>
      <x:c r="B7" s="96" t="str">
        <x:v>MEXTRA — Unveiling Privacy Risks in Agent Memory</x:v>
      </x:c>
      <x:c r="C7" s="96" t="n">
        <x:v>2025</x:v>
      </x:c>
      <x:c r="D7" s="96" t="str">
        <x:v>Peer-reviewed</x:v>
      </x:c>
      <x:c r="E7" s="96" t="str">
        <x:v>Attack</x:v>
      </x:c>
      <x:c r="F7" s="96" t="str">
        <x:v>Pending</x:v>
      </x:c>
      <x:c r="G7" s="96" t="str"/>
      <x:c r="H7" s="96" t="str"/>
      <x:c r="I7" s="96" t="str"/>
      <x:c r="J7" s="96" t="str"/>
      <x:c r="K7" s="96" t="str"/>
      <x:c r="L7" s="96" t="str"/>
      <x:c r="M7" s="96" t="str"/>
      <x:c r="N7" s="96" t="str"/>
      <x:c r="O7" s="96" t="str"/>
      <x:c r="P7" s="96" t="str"/>
      <x:c r="Q7" s="96" t="str"/>
      <x:c r="R7" s="96" t="str"/>
      <x:c r="S7" s="96" t="str"/>
      <x:c r="T7" s="96" t="str"/>
      <x:c r="U7" s="96" t="str"/>
      <x:c r="V7" s="96" t="str"/>
      <x:c r="W7" s="96" t="str"/>
      <x:c r="X7" s="96" t="str"/>
      <x:c r="Y7" s="96" t="str"/>
      <x:c r="Z7" s="96" t="str"/>
      <x:c r="AA7" s="96" t="str"/>
      <x:c r="AB7" s="96" t="str"/>
      <x:c r="AC7" s="96" t="str"/>
      <x:c r="AD7" s="96" t="str"/>
      <x:c r="AE7" s="96" t="str"/>
      <x:c r="AF7" s="96" t="str"/>
      <x:c r="AG7" s="96" t="str">
        <x:v>Not started</x:v>
      </x:c>
      <x:c r="AH7" s="96" t="str"/>
    </x:row>
    <x:row r="8">
      <x:c r="A8" s="96" t="n">
        <x:v>13</x:v>
      </x:c>
      <x:c r="B8" s="96" t="str">
        <x:v>eTAMP / Poison Once Exploit Forever — env-injected web-agent</x:v>
      </x:c>
      <x:c r="C8" s="96" t="n">
        <x:v>2026</x:v>
      </x:c>
      <x:c r="D8" s="96" t="str">
        <x:v>Preprint</x:v>
      </x:c>
      <x:c r="E8" s="96" t="str">
        <x:v>Attack</x:v>
      </x:c>
      <x:c r="F8" s="96" t="str">
        <x:v>Pending</x:v>
      </x:c>
      <x:c r="G8" s="96" t="str"/>
      <x:c r="H8" s="96" t="str"/>
      <x:c r="I8" s="96" t="str"/>
      <x:c r="J8" s="96" t="str"/>
      <x:c r="K8" s="96" t="str"/>
      <x:c r="L8" s="96" t="str"/>
      <x:c r="M8" s="96" t="str"/>
      <x:c r="N8" s="96" t="str"/>
      <x:c r="O8" s="96" t="str"/>
      <x:c r="P8" s="96" t="str"/>
      <x:c r="Q8" s="96" t="str"/>
      <x:c r="R8" s="96" t="str"/>
      <x:c r="S8" s="96" t="str"/>
      <x:c r="T8" s="96" t="str"/>
      <x:c r="U8" s="96" t="str"/>
      <x:c r="V8" s="96" t="str"/>
      <x:c r="W8" s="96" t="str"/>
      <x:c r="X8" s="96" t="str"/>
      <x:c r="Y8" s="96" t="str"/>
      <x:c r="Z8" s="96" t="str"/>
      <x:c r="AA8" s="96" t="str"/>
      <x:c r="AB8" s="96" t="str"/>
      <x:c r="AC8" s="96" t="str"/>
      <x:c r="AD8" s="96" t="str"/>
      <x:c r="AE8" s="96" t="str"/>
      <x:c r="AF8" s="96" t="str"/>
      <x:c r="AG8" s="96" t="str">
        <x:v>Not started</x:v>
      </x:c>
      <x:c r="AH8" s="96" t="str"/>
    </x:row>
    <x:row r="9">
      <x:c r="A9" s="96" t="n">
        <x:v>14</x:v>
      </x:c>
      <x:c r="B9" s="96" t="str">
        <x:v>InjecMEM — memory injection on memory systems</x:v>
      </x:c>
      <x:c r="C9" s="96" t="n">
        <x:v>2026</x:v>
      </x:c>
      <x:c r="D9" s="96" t="str">
        <x:v>Preprint</x:v>
      </x:c>
      <x:c r="E9" s="96" t="str">
        <x:v>Attack</x:v>
      </x:c>
      <x:c r="F9" s="96" t="str">
        <x:v>Pending</x:v>
      </x:c>
      <x:c r="G9" s="96" t="str"/>
      <x:c r="H9" s="96" t="str"/>
      <x:c r="I9" s="96" t="str"/>
      <x:c r="J9" s="96" t="str"/>
      <x:c r="K9" s="96" t="str"/>
      <x:c r="L9" s="96" t="str"/>
      <x:c r="M9" s="96" t="str"/>
      <x:c r="N9" s="96" t="str"/>
      <x:c r="O9" s="96" t="str"/>
      <x:c r="P9" s="96" t="str"/>
      <x:c r="Q9" s="96" t="str"/>
      <x:c r="R9" s="96" t="str"/>
      <x:c r="S9" s="96" t="str"/>
      <x:c r="T9" s="96" t="str"/>
      <x:c r="U9" s="96" t="str"/>
      <x:c r="V9" s="96" t="str"/>
      <x:c r="W9" s="96" t="str"/>
      <x:c r="X9" s="96" t="str"/>
      <x:c r="Y9" s="96" t="str"/>
      <x:c r="Z9" s="96" t="str"/>
      <x:c r="AA9" s="96" t="str"/>
      <x:c r="AB9" s="96" t="str"/>
      <x:c r="AC9" s="96" t="str"/>
      <x:c r="AD9" s="96" t="str"/>
      <x:c r="AE9" s="96" t="str"/>
      <x:c r="AF9" s="96" t="str"/>
      <x:c r="AG9" s="96" t="str">
        <x:v>Not started</x:v>
      </x:c>
      <x:c r="AH9" s="96" t="str"/>
    </x:row>
    <x:row r="10">
      <x:c r="A10" s="96" t="n">
        <x:v>15</x:v>
      </x:c>
      <x:c r="B10" s="96" t="str">
        <x:v>MemoryGraft — poisoned experience retrieval</x:v>
      </x:c>
      <x:c r="C10" s="96" t="n">
        <x:v>2025</x:v>
      </x:c>
      <x:c r="D10" s="96" t="str">
        <x:v>Preprint</x:v>
      </x:c>
      <x:c r="E10" s="96" t="str">
        <x:v>Attack</x:v>
      </x:c>
      <x:c r="F10" s="96" t="str">
        <x:v>Pending</x:v>
      </x:c>
      <x:c r="G10" s="96" t="str"/>
      <x:c r="H10" s="96" t="str"/>
      <x:c r="I10" s="96" t="str"/>
      <x:c r="J10" s="96" t="str"/>
      <x:c r="K10" s="96" t="str"/>
      <x:c r="L10" s="96" t="str"/>
      <x:c r="M10" s="96" t="str"/>
      <x:c r="N10" s="96" t="str"/>
      <x:c r="O10" s="96" t="str"/>
      <x:c r="P10" s="96" t="str"/>
      <x:c r="Q10" s="96" t="str"/>
      <x:c r="R10" s="96" t="str"/>
      <x:c r="S10" s="96" t="str"/>
      <x:c r="T10" s="96" t="str"/>
      <x:c r="U10" s="96" t="str"/>
      <x:c r="V10" s="96" t="str"/>
      <x:c r="W10" s="96" t="str"/>
      <x:c r="X10" s="96" t="str"/>
      <x:c r="Y10" s="96" t="str"/>
      <x:c r="Z10" s="96" t="str"/>
      <x:c r="AA10" s="96" t="str"/>
      <x:c r="AB10" s="96" t="str"/>
      <x:c r="AC10" s="96" t="str"/>
      <x:c r="AD10" s="96" t="str"/>
      <x:c r="AE10" s="96" t="str"/>
      <x:c r="AF10" s="96" t="str"/>
      <x:c r="AG10" s="96" t="str">
        <x:v>Not started</x:v>
      </x:c>
      <x:c r="AH10" s="96" t="str"/>
    </x:row>
    <x:row r="11">
      <x:c r="A11" s="96" t="n">
        <x:v>16</x:v>
      </x:c>
      <x:c r="B11" s="96" t="str">
        <x:v>MCFA / From Storage to Steering — memory control-flow</x:v>
      </x:c>
      <x:c r="C11" s="96" t="n">
        <x:v>2026</x:v>
      </x:c>
      <x:c r="D11" s="96" t="str">
        <x:v>Preprint</x:v>
      </x:c>
      <x:c r="E11" s="96" t="str">
        <x:v>Attack</x:v>
      </x:c>
      <x:c r="F11" s="96" t="str">
        <x:v>Pending</x:v>
      </x:c>
      <x:c r="G11" s="96" t="str"/>
      <x:c r="H11" s="96" t="str"/>
      <x:c r="I11" s="96" t="str"/>
      <x:c r="J11" s="96" t="str"/>
      <x:c r="K11" s="96" t="str"/>
      <x:c r="L11" s="96" t="str"/>
      <x:c r="M11" s="96" t="str"/>
      <x:c r="N11" s="96" t="str"/>
      <x:c r="O11" s="96" t="str"/>
      <x:c r="P11" s="96" t="str"/>
      <x:c r="Q11" s="96" t="str"/>
      <x:c r="R11" s="96" t="str"/>
      <x:c r="S11" s="96" t="str"/>
      <x:c r="T11" s="96" t="str"/>
      <x:c r="U11" s="96" t="str"/>
      <x:c r="V11" s="96" t="str"/>
      <x:c r="W11" s="96" t="str"/>
      <x:c r="X11" s="96" t="str"/>
      <x:c r="Y11" s="96" t="str"/>
      <x:c r="Z11" s="96" t="str"/>
      <x:c r="AA11" s="96" t="str"/>
      <x:c r="AB11" s="96" t="str"/>
      <x:c r="AC11" s="96" t="str"/>
      <x:c r="AD11" s="96" t="str"/>
      <x:c r="AE11" s="96" t="str"/>
      <x:c r="AF11" s="96" t="str"/>
      <x:c r="AG11" s="96" t="str">
        <x:v>Not started</x:v>
      </x:c>
      <x:c r="AH11" s="96" t="str"/>
    </x:row>
    <x:row r="12">
      <x:c r="A12" s="96" t="n">
        <x:v>17</x:v>
      </x:c>
      <x:c r="B12" s="96" t="str">
        <x:v>Trojan Hippo — weaponizing memory for exfiltration</x:v>
      </x:c>
      <x:c r="C12" s="96" t="n">
        <x:v>2026</x:v>
      </x:c>
      <x:c r="D12" s="96" t="str">
        <x:v>Preprint</x:v>
      </x:c>
      <x:c r="E12" s="96" t="str">
        <x:v>Attack</x:v>
      </x:c>
      <x:c r="F12" s="96" t="str">
        <x:v>Pending</x:v>
      </x:c>
      <x:c r="G12" s="96" t="str"/>
      <x:c r="H12" s="96" t="str"/>
      <x:c r="I12" s="96" t="str"/>
      <x:c r="J12" s="96" t="str"/>
      <x:c r="K12" s="96" t="str"/>
      <x:c r="L12" s="96" t="str"/>
      <x:c r="M12" s="96" t="str"/>
      <x:c r="N12" s="96" t="str"/>
      <x:c r="O12" s="96" t="str"/>
      <x:c r="P12" s="96" t="str"/>
      <x:c r="Q12" s="96" t="str"/>
      <x:c r="R12" s="96" t="str"/>
      <x:c r="S12" s="96" t="str"/>
      <x:c r="T12" s="96" t="str"/>
      <x:c r="U12" s="96" t="str"/>
      <x:c r="V12" s="96" t="str"/>
      <x:c r="W12" s="96" t="str"/>
      <x:c r="X12" s="96" t="str"/>
      <x:c r="Y12" s="96" t="str"/>
      <x:c r="Z12" s="96" t="str"/>
      <x:c r="AA12" s="96" t="str"/>
      <x:c r="AB12" s="96" t="str"/>
      <x:c r="AC12" s="96" t="str"/>
      <x:c r="AD12" s="96" t="str"/>
      <x:c r="AE12" s="96" t="str"/>
      <x:c r="AF12" s="96" t="str"/>
      <x:c r="AG12" s="96" t="str">
        <x:v>Not started</x:v>
      </x:c>
      <x:c r="AH12" s="96" t="str"/>
    </x:row>
    <x:row r="13">
      <x:c r="A13" s="96" t="n">
        <x:v>18</x:v>
      </x:c>
      <x:c r="B13" s="96" t="str">
        <x:v>Hidden in Memory — sleeper memory poisoning</x:v>
      </x:c>
      <x:c r="C13" s="96" t="n">
        <x:v>2026</x:v>
      </x:c>
      <x:c r="D13" s="96" t="str">
        <x:v>Preprint</x:v>
      </x:c>
      <x:c r="E13" s="96" t="str">
        <x:v>Attack</x:v>
      </x:c>
      <x:c r="F13" s="96" t="str">
        <x:v>Pending</x:v>
      </x:c>
      <x:c r="G13" s="96" t="str"/>
      <x:c r="H13" s="96" t="str"/>
      <x:c r="I13" s="96" t="str"/>
      <x:c r="J13" s="96" t="str"/>
      <x:c r="K13" s="96" t="str"/>
      <x:c r="L13" s="96" t="str"/>
      <x:c r="M13" s="96" t="str"/>
      <x:c r="N13" s="96" t="str"/>
      <x:c r="O13" s="96" t="str"/>
      <x:c r="P13" s="96" t="str"/>
      <x:c r="Q13" s="96" t="str"/>
      <x:c r="R13" s="96" t="str"/>
      <x:c r="S13" s="96" t="str"/>
      <x:c r="T13" s="96" t="str"/>
      <x:c r="U13" s="96" t="str"/>
      <x:c r="V13" s="96" t="str"/>
      <x:c r="W13" s="96" t="str"/>
      <x:c r="X13" s="96" t="str"/>
      <x:c r="Y13" s="96" t="str"/>
      <x:c r="Z13" s="96" t="str"/>
      <x:c r="AA13" s="96" t="str"/>
      <x:c r="AB13" s="96" t="str"/>
      <x:c r="AC13" s="96" t="str"/>
      <x:c r="AD13" s="96" t="str"/>
      <x:c r="AE13" s="96" t="str"/>
      <x:c r="AF13" s="96" t="str"/>
      <x:c r="AG13" s="96" t="str">
        <x:v>Not started</x:v>
      </x:c>
      <x:c r="AH13" s="96" t="str"/>
    </x:row>
    <x:row r="14">
      <x:c r="A14" s="96" t="n">
        <x:v>19</x:v>
      </x:c>
      <x:c r="B14" s="96" t="str">
        <x:v>From Untrusted Input to Trusted Memory + MPBench</x:v>
      </x:c>
      <x:c r="C14" s="96" t="n">
        <x:v>2026</x:v>
      </x:c>
      <x:c r="D14" s="96" t="str">
        <x:v>Preprint</x:v>
      </x:c>
      <x:c r="E14" s="96" t="str">
        <x:v>Attack</x:v>
      </x:c>
      <x:c r="F14" s="96" t="str">
        <x:v>Pending</x:v>
      </x:c>
      <x:c r="G14" s="96" t="str"/>
      <x:c r="H14" s="96" t="str"/>
      <x:c r="I14" s="96" t="str"/>
      <x:c r="J14" s="96" t="str"/>
      <x:c r="K14" s="96" t="str"/>
      <x:c r="L14" s="96" t="str"/>
      <x:c r="M14" s="96" t="str"/>
      <x:c r="N14" s="96" t="str"/>
      <x:c r="O14" s="96" t="str"/>
      <x:c r="P14" s="96" t="str"/>
      <x:c r="Q14" s="96" t="str"/>
      <x:c r="R14" s="96" t="str"/>
      <x:c r="S14" s="96" t="str"/>
      <x:c r="T14" s="96" t="str"/>
      <x:c r="U14" s="96" t="str"/>
      <x:c r="V14" s="96" t="str"/>
      <x:c r="W14" s="96" t="str"/>
      <x:c r="X14" s="96" t="str"/>
      <x:c r="Y14" s="96" t="str"/>
      <x:c r="Z14" s="96" t="str"/>
      <x:c r="AA14" s="96" t="str"/>
      <x:c r="AB14" s="96" t="str"/>
      <x:c r="AC14" s="96" t="str"/>
      <x:c r="AD14" s="96" t="str"/>
      <x:c r="AE14" s="96" t="str"/>
      <x:c r="AF14" s="96" t="str"/>
      <x:c r="AG14" s="96" t="str">
        <x:v>Not started</x:v>
      </x:c>
      <x:c r="AH14" s="96" t="str"/>
    </x:row>
    <x:row r="15">
      <x:c r="A15" s="96" t="n">
        <x:v>20</x:v>
      </x:c>
      <x:c r="B15" s="96" t="str">
        <x:v>MemMorph — tool-use hijacking via memory</x:v>
      </x:c>
      <x:c r="C15" s="96" t="n">
        <x:v>2026</x:v>
      </x:c>
      <x:c r="D15" s="96" t="str">
        <x:v>Preprint</x:v>
      </x:c>
      <x:c r="E15" s="96" t="str">
        <x:v>Attack</x:v>
      </x:c>
      <x:c r="F15" s="96" t="str">
        <x:v>Pending</x:v>
      </x:c>
      <x:c r="G15" s="96" t="str"/>
      <x:c r="H15" s="96" t="str"/>
      <x:c r="I15" s="96" t="str"/>
      <x:c r="J15" s="96" t="str"/>
      <x:c r="K15" s="96" t="str"/>
      <x:c r="L15" s="96" t="str"/>
      <x:c r="M15" s="96" t="str"/>
      <x:c r="N15" s="96" t="str"/>
      <x:c r="O15" s="96" t="str"/>
      <x:c r="P15" s="96" t="str"/>
      <x:c r="Q15" s="96" t="str"/>
      <x:c r="R15" s="96" t="str"/>
      <x:c r="S15" s="96" t="str"/>
      <x:c r="T15" s="96" t="str"/>
      <x:c r="U15" s="96" t="str"/>
      <x:c r="V15" s="96" t="str"/>
      <x:c r="W15" s="96" t="str"/>
      <x:c r="X15" s="96" t="str"/>
      <x:c r="Y15" s="96" t="str"/>
      <x:c r="Z15" s="96" t="str"/>
      <x:c r="AA15" s="96" t="str"/>
      <x:c r="AB15" s="96" t="str"/>
      <x:c r="AC15" s="96" t="str"/>
      <x:c r="AD15" s="96" t="str"/>
      <x:c r="AE15" s="96" t="str"/>
      <x:c r="AF15" s="96" t="str"/>
      <x:c r="AG15" s="96" t="str">
        <x:v>Not started</x:v>
      </x:c>
      <x:c r="AH15" s="96" t="str"/>
    </x:row>
    <x:row r="16">
      <x:c r="A16" s="96" t="n">
        <x:v>21</x:v>
      </x:c>
      <x:c r="B16" s="96" t="str">
        <x:v>Zombie Agents — persistent control via self-reinforcing injection</x:v>
      </x:c>
      <x:c r="C16" s="96" t="n">
        <x:v>2026</x:v>
      </x:c>
      <x:c r="D16" s="96" t="str">
        <x:v>Preprint</x:v>
      </x:c>
      <x:c r="E16" s="96" t="str">
        <x:v>Attack</x:v>
      </x:c>
      <x:c r="F16" s="96" t="str">
        <x:v>Pending</x:v>
      </x:c>
      <x:c r="G16" s="96" t="str"/>
      <x:c r="H16" s="96" t="str"/>
      <x:c r="I16" s="96" t="str"/>
      <x:c r="J16" s="96" t="str"/>
      <x:c r="K16" s="96" t="str"/>
      <x:c r="L16" s="96" t="str"/>
      <x:c r="M16" s="96" t="str"/>
      <x:c r="N16" s="96" t="str"/>
      <x:c r="O16" s="96" t="str"/>
      <x:c r="P16" s="96" t="str"/>
      <x:c r="Q16" s="96" t="str"/>
      <x:c r="R16" s="96" t="str"/>
      <x:c r="S16" s="96" t="str"/>
      <x:c r="T16" s="96" t="str"/>
      <x:c r="U16" s="96" t="str"/>
      <x:c r="V16" s="96" t="str"/>
      <x:c r="W16" s="96" t="str"/>
      <x:c r="X16" s="96" t="str"/>
      <x:c r="Y16" s="96" t="str"/>
      <x:c r="Z16" s="96" t="str"/>
      <x:c r="AA16" s="96" t="str"/>
      <x:c r="AB16" s="96" t="str"/>
      <x:c r="AC16" s="96" t="str"/>
      <x:c r="AD16" s="96" t="str"/>
      <x:c r="AE16" s="96" t="str"/>
      <x:c r="AF16" s="96" t="str"/>
      <x:c r="AG16" s="96" t="str">
        <x:v>Not started</x:v>
      </x:c>
      <x:c r="AH16" s="96" t="str"/>
    </x:row>
    <x:row r="17">
      <x:c r="A17" s="96" t="n">
        <x:v>22</x:v>
      </x:c>
      <x:c r="B17" s="96" t="str">
        <x:v>No Attacker Needed — unintentional cross-user contamination</x:v>
      </x:c>
      <x:c r="C17" s="96" t="n">
        <x:v>2026</x:v>
      </x:c>
      <x:c r="D17" s="96" t="str">
        <x:v>Preprint</x:v>
      </x:c>
      <x:c r="E17" s="96" t="str">
        <x:v>Attack</x:v>
      </x:c>
      <x:c r="F17" s="96" t="str">
        <x:v>Pending</x:v>
      </x:c>
      <x:c r="G17" s="96" t="str"/>
      <x:c r="H17" s="96" t="str"/>
      <x:c r="I17" s="96" t="str"/>
      <x:c r="J17" s="96" t="str"/>
      <x:c r="K17" s="96" t="str"/>
      <x:c r="L17" s="96" t="str"/>
      <x:c r="M17" s="96" t="str"/>
      <x:c r="N17" s="96" t="str"/>
      <x:c r="O17" s="96" t="str"/>
      <x:c r="P17" s="96" t="str"/>
      <x:c r="Q17" s="96" t="str"/>
      <x:c r="R17" s="96" t="str"/>
      <x:c r="S17" s="96" t="str"/>
      <x:c r="T17" s="96" t="str"/>
      <x:c r="U17" s="96" t="str"/>
      <x:c r="V17" s="96" t="str"/>
      <x:c r="W17" s="96" t="str"/>
      <x:c r="X17" s="96" t="str"/>
      <x:c r="Y17" s="96" t="str"/>
      <x:c r="Z17" s="96" t="str"/>
      <x:c r="AA17" s="96" t="str"/>
      <x:c r="AB17" s="96" t="str"/>
      <x:c r="AC17" s="96" t="str"/>
      <x:c r="AD17" s="96" t="str"/>
      <x:c r="AE17" s="96" t="str"/>
      <x:c r="AF17" s="96" t="str"/>
      <x:c r="AG17" s="96" t="str">
        <x:v>Not started</x:v>
      </x:c>
      <x:c r="AH17" s="96" t="str"/>
    </x:row>
    <x:row r="18">
      <x:c r="A18" s="96" t="n">
        <x:v>23</x:v>
      </x:c>
      <x:c r="B18" s="96" t="str">
        <x:v>Skill-Inject — malicious procedures into skill memory</x:v>
      </x:c>
      <x:c r="C18" s="96" t="n">
        <x:v>2026</x:v>
      </x:c>
      <x:c r="D18" s="96" t="str">
        <x:v>Preprint</x:v>
      </x:c>
      <x:c r="E18" s="96" t="str">
        <x:v>Attack</x:v>
      </x:c>
      <x:c r="F18" s="96" t="str">
        <x:v>Pending</x:v>
      </x:c>
      <x:c r="G18" s="96" t="str"/>
      <x:c r="H18" s="96" t="str"/>
      <x:c r="I18" s="96" t="str"/>
      <x:c r="J18" s="96" t="str"/>
      <x:c r="K18" s="96" t="str"/>
      <x:c r="L18" s="96" t="str"/>
      <x:c r="M18" s="96" t="str"/>
      <x:c r="N18" s="96" t="str"/>
      <x:c r="O18" s="96" t="str"/>
      <x:c r="P18" s="96" t="str"/>
      <x:c r="Q18" s="96" t="str"/>
      <x:c r="R18" s="96" t="str"/>
      <x:c r="S18" s="96" t="str"/>
      <x:c r="T18" s="96" t="str"/>
      <x:c r="U18" s="96" t="str"/>
      <x:c r="V18" s="96" t="str"/>
      <x:c r="W18" s="96" t="str"/>
      <x:c r="X18" s="96" t="str"/>
      <x:c r="Y18" s="96" t="str"/>
      <x:c r="Z18" s="96" t="str"/>
      <x:c r="AA18" s="96" t="str"/>
      <x:c r="AB18" s="96" t="str"/>
      <x:c r="AC18" s="96" t="str"/>
      <x:c r="AD18" s="96" t="str"/>
      <x:c r="AE18" s="96" t="str"/>
      <x:c r="AF18" s="96" t="str"/>
      <x:c r="AG18" s="96" t="str">
        <x:v>Not started</x:v>
      </x:c>
      <x:c r="AH18" s="96" t="str"/>
    </x:row>
    <x:row r="19">
      <x:c r="A19" s="96" t="n">
        <x:v>24</x:v>
      </x:c>
      <x:c r="B19" s="96" t="str">
        <x:v>Visual Inception — multimodal memory poisoning</x:v>
      </x:c>
      <x:c r="C19" s="96" t="n">
        <x:v>2026</x:v>
      </x:c>
      <x:c r="D19" s="96" t="str">
        <x:v>Preprint</x:v>
      </x:c>
      <x:c r="E19" s="96" t="str">
        <x:v>Attack</x:v>
      </x:c>
      <x:c r="F19" s="96" t="str">
        <x:v>Pending</x:v>
      </x:c>
      <x:c r="G19" s="96" t="str"/>
      <x:c r="H19" s="96" t="str"/>
      <x:c r="I19" s="96" t="str"/>
      <x:c r="J19" s="96" t="str"/>
      <x:c r="K19" s="96" t="str"/>
      <x:c r="L19" s="96" t="str"/>
      <x:c r="M19" s="96" t="str"/>
      <x:c r="N19" s="96" t="str"/>
      <x:c r="O19" s="96" t="str"/>
      <x:c r="P19" s="96" t="str"/>
      <x:c r="Q19" s="96" t="str"/>
      <x:c r="R19" s="96" t="str"/>
      <x:c r="S19" s="96" t="str"/>
      <x:c r="T19" s="96" t="str"/>
      <x:c r="U19" s="96" t="str"/>
      <x:c r="V19" s="96" t="str"/>
      <x:c r="W19" s="96" t="str"/>
      <x:c r="X19" s="96" t="str"/>
      <x:c r="Y19" s="96" t="str"/>
      <x:c r="Z19" s="96" t="str"/>
      <x:c r="AA19" s="96" t="str"/>
      <x:c r="AB19" s="96" t="str"/>
      <x:c r="AC19" s="96" t="str"/>
      <x:c r="AD19" s="96" t="str"/>
      <x:c r="AE19" s="96" t="str"/>
      <x:c r="AF19" s="96" t="str"/>
      <x:c r="AG19" s="96" t="str">
        <x:v>Not started</x:v>
      </x:c>
      <x:c r="AH19" s="96" t="str"/>
    </x:row>
    <x:row r="20">
      <x:c r="A20" s="96" t="n">
        <x:v>25</x:v>
      </x:c>
      <x:c r="B20" s="96" t="str">
        <x:v>PoisonedRAG — knowledge corruption of RAG</x:v>
      </x:c>
      <x:c r="C20" s="96" t="n">
        <x:v>2025</x:v>
      </x:c>
      <x:c r="D20" s="96" t="str">
        <x:v>Peer-reviewed</x:v>
      </x:c>
      <x:c r="E20" s="96" t="str">
        <x:v>Attack</x:v>
      </x:c>
      <x:c r="F20" s="96" t="str">
        <x:v>Pending</x:v>
      </x:c>
      <x:c r="G20" s="96" t="str"/>
      <x:c r="H20" s="96" t="str"/>
      <x:c r="I20" s="96" t="str"/>
      <x:c r="J20" s="96" t="str"/>
      <x:c r="K20" s="96" t="str"/>
      <x:c r="L20" s="96" t="str"/>
      <x:c r="M20" s="96" t="str"/>
      <x:c r="N20" s="96" t="str"/>
      <x:c r="O20" s="96" t="str"/>
      <x:c r="P20" s="96" t="str"/>
      <x:c r="Q20" s="96" t="str"/>
      <x:c r="R20" s="96" t="str"/>
      <x:c r="S20" s="96" t="str"/>
      <x:c r="T20" s="96" t="str"/>
      <x:c r="U20" s="96" t="str"/>
      <x:c r="V20" s="96" t="str"/>
      <x:c r="W20" s="96" t="str"/>
      <x:c r="X20" s="96" t="str"/>
      <x:c r="Y20" s="96" t="str"/>
      <x:c r="Z20" s="96" t="str"/>
      <x:c r="AA20" s="96" t="str"/>
      <x:c r="AB20" s="96" t="str"/>
      <x:c r="AC20" s="96" t="str"/>
      <x:c r="AD20" s="96" t="str"/>
      <x:c r="AE20" s="96" t="str"/>
      <x:c r="AF20" s="96" t="str"/>
      <x:c r="AG20" s="96" t="str">
        <x:v>Not started</x:v>
      </x:c>
      <x:c r="AH20" s="96" t="str"/>
    </x:row>
    <x:row r="21">
      <x:c r="A21" s="96" t="n">
        <x:v>26</x:v>
      </x:c>
      <x:c r="B21" s="96" t="str">
        <x:v>Agent Smith — one image jailbreaks a million agents</x:v>
      </x:c>
      <x:c r="C21" s="96" t="n">
        <x:v>2024</x:v>
      </x:c>
      <x:c r="D21" s="96" t="str">
        <x:v>Peer-reviewed</x:v>
      </x:c>
      <x:c r="E21" s="96" t="str">
        <x:v>Attack</x:v>
      </x:c>
      <x:c r="F21" s="96" t="str">
        <x:v>Pending</x:v>
      </x:c>
      <x:c r="G21" s="96" t="str"/>
      <x:c r="H21" s="96" t="str"/>
      <x:c r="I21" s="96" t="str"/>
      <x:c r="J21" s="96" t="str"/>
      <x:c r="K21" s="96" t="str"/>
      <x:c r="L21" s="96" t="str"/>
      <x:c r="M21" s="96" t="str"/>
      <x:c r="N21" s="96" t="str"/>
      <x:c r="O21" s="96" t="str"/>
      <x:c r="P21" s="96" t="str"/>
      <x:c r="Q21" s="96" t="str"/>
      <x:c r="R21" s="96" t="str"/>
      <x:c r="S21" s="96" t="str"/>
      <x:c r="T21" s="96" t="str"/>
      <x:c r="U21" s="96" t="str"/>
      <x:c r="V21" s="96" t="str"/>
      <x:c r="W21" s="96" t="str"/>
      <x:c r="X21" s="96" t="str"/>
      <x:c r="Y21" s="96" t="str"/>
      <x:c r="Z21" s="96" t="str"/>
      <x:c r="AA21" s="96" t="str"/>
      <x:c r="AB21" s="96" t="str"/>
      <x:c r="AC21" s="96" t="str"/>
      <x:c r="AD21" s="96" t="str"/>
      <x:c r="AE21" s="96" t="str"/>
      <x:c r="AF21" s="96" t="str"/>
      <x:c r="AG21" s="96" t="str">
        <x:v>Not started</x:v>
      </x:c>
      <x:c r="AH21" s="96" t="str"/>
    </x:row>
    <x:row r="22">
      <x:c r="A22" s="96" t="n">
        <x:v>27</x:v>
      </x:c>
      <x:c r="B22" s="96" t="str">
        <x:v>ComPromptMized — zero-click self-replicating GenAI worm</x:v>
      </x:c>
      <x:c r="C22" s="96" t="n">
        <x:v>2025</x:v>
      </x:c>
      <x:c r="D22" s="96" t="str">
        <x:v>Peer-reviewed</x:v>
      </x:c>
      <x:c r="E22" s="96" t="str">
        <x:v>Attack</x:v>
      </x:c>
      <x:c r="F22" s="96" t="str">
        <x:v>Pending</x:v>
      </x:c>
      <x:c r="G22" s="96" t="str"/>
      <x:c r="H22" s="96" t="str"/>
      <x:c r="I22" s="96" t="str"/>
      <x:c r="J22" s="96" t="str"/>
      <x:c r="K22" s="96" t="str"/>
      <x:c r="L22" s="96" t="str"/>
      <x:c r="M22" s="96" t="str"/>
      <x:c r="N22" s="96" t="str"/>
      <x:c r="O22" s="96" t="str"/>
      <x:c r="P22" s="96" t="str"/>
      <x:c r="Q22" s="96" t="str"/>
      <x:c r="R22" s="96" t="str"/>
      <x:c r="S22" s="96" t="str"/>
      <x:c r="T22" s="96" t="str"/>
      <x:c r="U22" s="96" t="str"/>
      <x:c r="V22" s="96" t="str"/>
      <x:c r="W22" s="96" t="str"/>
      <x:c r="X22" s="96" t="str"/>
      <x:c r="Y22" s="96" t="str"/>
      <x:c r="Z22" s="96" t="str"/>
      <x:c r="AA22" s="96" t="str"/>
      <x:c r="AB22" s="96" t="str"/>
      <x:c r="AC22" s="96" t="str"/>
      <x:c r="AD22" s="96" t="str"/>
      <x:c r="AE22" s="96" t="str"/>
      <x:c r="AF22" s="96" t="str"/>
      <x:c r="AG22" s="96" t="str">
        <x:v>Not started</x:v>
      </x:c>
      <x:c r="AH22" s="96" t="str"/>
    </x:row>
    <x:row r="23">
      <x:c r="A23" s="96" t="n">
        <x:v>28</x:v>
      </x:c>
      <x:c r="B23" s="96" t="str">
        <x:v>Ghost of the Past — privacy leakage of LLM memory</x:v>
      </x:c>
      <x:c r="C23" s="96" t="n">
        <x:v>2024</x:v>
      </x:c>
      <x:c r="D23" s="96" t="str">
        <x:v>Preprint</x:v>
      </x:c>
      <x:c r="E23" s="96" t="str">
        <x:v>Attack</x:v>
      </x:c>
      <x:c r="F23" s="96" t="str">
        <x:v>Pending</x:v>
      </x:c>
      <x:c r="G23" s="96" t="str"/>
      <x:c r="H23" s="96" t="str"/>
      <x:c r="I23" s="96" t="str"/>
      <x:c r="J23" s="96" t="str"/>
      <x:c r="K23" s="96" t="str"/>
      <x:c r="L23" s="96" t="str"/>
      <x:c r="M23" s="96" t="str"/>
      <x:c r="N23" s="96" t="str"/>
      <x:c r="O23" s="96" t="str"/>
      <x:c r="P23" s="96" t="str"/>
      <x:c r="Q23" s="96" t="str"/>
      <x:c r="R23" s="96" t="str"/>
      <x:c r="S23" s="96" t="str"/>
      <x:c r="T23" s="96" t="str"/>
      <x:c r="U23" s="96" t="str"/>
      <x:c r="V23" s="96" t="str"/>
      <x:c r="W23" s="96" t="str"/>
      <x:c r="X23" s="96" t="str"/>
      <x:c r="Y23" s="96" t="str"/>
      <x:c r="Z23" s="96" t="str"/>
      <x:c r="AA23" s="96" t="str"/>
      <x:c r="AB23" s="96" t="str"/>
      <x:c r="AC23" s="96" t="str"/>
      <x:c r="AD23" s="96" t="str"/>
      <x:c r="AE23" s="96" t="str"/>
      <x:c r="AF23" s="96" t="str"/>
      <x:c r="AG23" s="96" t="str">
        <x:v>Not started</x:v>
      </x:c>
      <x:c r="AH23" s="96" t="str"/>
    </x:row>
    <x:row r="24">
      <x:c r="A24" s="96" t="n">
        <x:v>29</x:v>
      </x:c>
      <x:c r="B24" s="96" t="str">
        <x:v>Cross-session Stored Prompt Injection in Agentic Systems</x:v>
      </x:c>
      <x:c r="C24" s="96" t="n">
        <x:v>2026</x:v>
      </x:c>
      <x:c r="D24" s="96" t="str">
        <x:v>Preprint</x:v>
      </x:c>
      <x:c r="E24" s="96" t="str">
        <x:v>Attack</x:v>
      </x:c>
      <x:c r="F24" s="96" t="str">
        <x:v>Pending</x:v>
      </x:c>
      <x:c r="G24" s="96" t="str"/>
      <x:c r="H24" s="96" t="str"/>
      <x:c r="I24" s="96" t="str"/>
      <x:c r="J24" s="96" t="str"/>
      <x:c r="K24" s="96" t="str"/>
      <x:c r="L24" s="96" t="str"/>
      <x:c r="M24" s="96" t="str"/>
      <x:c r="N24" s="96" t="str"/>
      <x:c r="O24" s="96" t="str"/>
      <x:c r="P24" s="96" t="str"/>
      <x:c r="Q24" s="96" t="str"/>
      <x:c r="R24" s="96" t="str"/>
      <x:c r="S24" s="96" t="str"/>
      <x:c r="T24" s="96" t="str"/>
      <x:c r="U24" s="96" t="str"/>
      <x:c r="V24" s="96" t="str"/>
      <x:c r="W24" s="96" t="str"/>
      <x:c r="X24" s="96" t="str"/>
      <x:c r="Y24" s="96" t="str"/>
      <x:c r="Z24" s="96" t="str"/>
      <x:c r="AA24" s="96" t="str"/>
      <x:c r="AB24" s="96" t="str"/>
      <x:c r="AC24" s="96" t="str"/>
      <x:c r="AD24" s="96" t="str"/>
      <x:c r="AE24" s="96" t="str"/>
      <x:c r="AF24" s="96" t="str"/>
      <x:c r="AG24" s="96" t="str">
        <x:v>Not started</x:v>
      </x:c>
      <x:c r="AH24" s="96" t="str"/>
    </x:row>
    <x:row r="25">
      <x:c r="A25" s="96" t="n">
        <x:v>30</x:v>
      </x:c>
      <x:c r="B25" s="96" t="str">
        <x:v>ER-MIA — black-box adversarial memory injection</x:v>
      </x:c>
      <x:c r="C25" s="96" t="n">
        <x:v>2026</x:v>
      </x:c>
      <x:c r="D25" s="96" t="str">
        <x:v>Preprint</x:v>
      </x:c>
      <x:c r="E25" s="96" t="str">
        <x:v>Attack</x:v>
      </x:c>
      <x:c r="F25" s="96" t="str">
        <x:v>Pending</x:v>
      </x:c>
      <x:c r="G25" s="96" t="str"/>
      <x:c r="H25" s="96" t="str"/>
      <x:c r="I25" s="96" t="str"/>
      <x:c r="J25" s="96" t="str"/>
      <x:c r="K25" s="96" t="str"/>
      <x:c r="L25" s="96" t="str"/>
      <x:c r="M25" s="96" t="str"/>
      <x:c r="N25" s="96" t="str"/>
      <x:c r="O25" s="96" t="str"/>
      <x:c r="P25" s="96" t="str"/>
      <x:c r="Q25" s="96" t="str"/>
      <x:c r="R25" s="96" t="str"/>
      <x:c r="S25" s="96" t="str"/>
      <x:c r="T25" s="96" t="str"/>
      <x:c r="U25" s="96" t="str"/>
      <x:c r="V25" s="96" t="str"/>
      <x:c r="W25" s="96" t="str"/>
      <x:c r="X25" s="96" t="str"/>
      <x:c r="Y25" s="96" t="str"/>
      <x:c r="Z25" s="96" t="str"/>
      <x:c r="AA25" s="96" t="str"/>
      <x:c r="AB25" s="96" t="str"/>
      <x:c r="AC25" s="96" t="str"/>
      <x:c r="AD25" s="96" t="str"/>
      <x:c r="AE25" s="96" t="str"/>
      <x:c r="AF25" s="96" t="str"/>
      <x:c r="AG25" s="96" t="str">
        <x:v>Not started</x:v>
      </x:c>
      <x:c r="AH25" s="96" t="str"/>
    </x:row>
    <x:row r="26">
      <x:c r="A26" s="96" t="n">
        <x:v>31</x:v>
      </x:c>
      <x:c r="B26" s="96" t="str">
        <x:v>MemPoison / Hijacking Agent Memory — stealthy trojan via dialogue</x:v>
      </x:c>
      <x:c r="C26" s="96" t="n">
        <x:v>2026</x:v>
      </x:c>
      <x:c r="D26" s="96" t="str">
        <x:v>Preprint</x:v>
      </x:c>
      <x:c r="E26" s="96" t="str">
        <x:v>Attack</x:v>
      </x:c>
      <x:c r="F26" s="96" t="str">
        <x:v>Pending</x:v>
      </x:c>
      <x:c r="G26" s="96" t="str"/>
      <x:c r="H26" s="96" t="str"/>
      <x:c r="I26" s="96" t="str"/>
      <x:c r="J26" s="96" t="str"/>
      <x:c r="K26" s="96" t="str"/>
      <x:c r="L26" s="96" t="str"/>
      <x:c r="M26" s="96" t="str"/>
      <x:c r="N26" s="96" t="str"/>
      <x:c r="O26" s="96" t="str"/>
      <x:c r="P26" s="96" t="str"/>
      <x:c r="Q26" s="96" t="str"/>
      <x:c r="R26" s="96" t="str"/>
      <x:c r="S26" s="96" t="str"/>
      <x:c r="T26" s="96" t="str"/>
      <x:c r="U26" s="96" t="str"/>
      <x:c r="V26" s="96" t="str"/>
      <x:c r="W26" s="96" t="str"/>
      <x:c r="X26" s="96" t="str"/>
      <x:c r="Y26" s="96" t="str"/>
      <x:c r="Z26" s="96" t="str"/>
      <x:c r="AA26" s="96" t="str"/>
      <x:c r="AB26" s="96" t="str"/>
      <x:c r="AC26" s="96" t="str"/>
      <x:c r="AD26" s="96" t="str"/>
      <x:c r="AE26" s="96" t="str"/>
      <x:c r="AF26" s="96" t="str"/>
      <x:c r="AG26" s="96" t="str">
        <x:v>Not started</x:v>
      </x:c>
      <x:c r="AH26" s="96" t="str"/>
    </x:row>
    <x:row r="27">
      <x:c r="A27" s="96" t="n">
        <x:v>32</x:v>
      </x:c>
      <x:c r="B27" s="96" t="str">
        <x:v>ShadowMerge — poisoning graph-based memory via relation-channel conflicts</x:v>
      </x:c>
      <x:c r="C27" s="96" t="n">
        <x:v>2026</x:v>
      </x:c>
      <x:c r="D27" s="96" t="str">
        <x:v>Preprint</x:v>
      </x:c>
      <x:c r="E27" s="96" t="str">
        <x:v>Attack</x:v>
      </x:c>
      <x:c r="F27" s="96" t="str">
        <x:v>Pending</x:v>
      </x:c>
      <x:c r="G27" s="96" t="str"/>
      <x:c r="H27" s="96" t="str"/>
      <x:c r="I27" s="96" t="str"/>
      <x:c r="J27" s="96" t="str"/>
      <x:c r="K27" s="96" t="str"/>
      <x:c r="L27" s="96" t="str"/>
      <x:c r="M27" s="96" t="str"/>
      <x:c r="N27" s="96" t="str"/>
      <x:c r="O27" s="96" t="str"/>
      <x:c r="P27" s="96" t="str"/>
      <x:c r="Q27" s="96" t="str"/>
      <x:c r="R27" s="96" t="str"/>
      <x:c r="S27" s="96" t="str"/>
      <x:c r="T27" s="96" t="str"/>
      <x:c r="U27" s="96" t="str"/>
      <x:c r="V27" s="96" t="str"/>
      <x:c r="W27" s="96" t="str"/>
      <x:c r="X27" s="96" t="str"/>
      <x:c r="Y27" s="96" t="str"/>
      <x:c r="Z27" s="96" t="str"/>
      <x:c r="AA27" s="96" t="str"/>
      <x:c r="AB27" s="96" t="str"/>
      <x:c r="AC27" s="96" t="str"/>
      <x:c r="AD27" s="96" t="str"/>
      <x:c r="AE27" s="96" t="str"/>
      <x:c r="AF27" s="96" t="str"/>
      <x:c r="AG27" s="96" t="str">
        <x:v>Not started</x:v>
      </x:c>
      <x:c r="AH27" s="96" t="str"/>
    </x:row>
    <x:row r="28">
      <x:c r="A28" s="96" t="n">
        <x:v>33</x:v>
      </x:c>
      <x:c r="B28" s="96" t="str">
        <x:v>MRMMIA — membership inference on chat-agent memory</x:v>
      </x:c>
      <x:c r="C28" s="96" t="n">
        <x:v>2026</x:v>
      </x:c>
      <x:c r="D28" s="96" t="str">
        <x:v>Preprint</x:v>
      </x:c>
      <x:c r="E28" s="96" t="str">
        <x:v>Attack</x:v>
      </x:c>
      <x:c r="F28" s="96" t="str">
        <x:v>Pending</x:v>
      </x:c>
      <x:c r="G28" s="96" t="str"/>
      <x:c r="H28" s="96" t="str"/>
      <x:c r="I28" s="96" t="str"/>
      <x:c r="J28" s="96" t="str"/>
      <x:c r="K28" s="96" t="str"/>
      <x:c r="L28" s="96" t="str"/>
      <x:c r="M28" s="96" t="str"/>
      <x:c r="N28" s="96" t="str"/>
      <x:c r="O28" s="96" t="str"/>
      <x:c r="P28" s="96" t="str"/>
      <x:c r="Q28" s="96" t="str"/>
      <x:c r="R28" s="96" t="str"/>
      <x:c r="S28" s="96" t="str"/>
      <x:c r="T28" s="96" t="str"/>
      <x:c r="U28" s="96" t="str"/>
      <x:c r="V28" s="96" t="str"/>
      <x:c r="W28" s="96" t="str"/>
      <x:c r="X28" s="96" t="str"/>
      <x:c r="Y28" s="96" t="str"/>
      <x:c r="Z28" s="96" t="str"/>
      <x:c r="AA28" s="96" t="str"/>
      <x:c r="AB28" s="96" t="str"/>
      <x:c r="AC28" s="96" t="str"/>
      <x:c r="AD28" s="96" t="str"/>
      <x:c r="AE28" s="96" t="str"/>
      <x:c r="AF28" s="96" t="str"/>
      <x:c r="AG28" s="96" t="str">
        <x:v>Not started</x:v>
      </x:c>
      <x:c r="AH28" s="96" t="str"/>
    </x:row>
    <x:row r="29">
      <x:c r="A29" s="96" t="n">
        <x:v>34</x:v>
      </x:c>
      <x:c r="B29" s="96" t="str">
        <x:v>VerificAgent — human-verified memory freezing</x:v>
      </x:c>
      <x:c r="C29" s="96" t="n">
        <x:v>2025</x:v>
      </x:c>
      <x:c r="D29" s="96" t="str">
        <x:v>Preprint</x:v>
      </x:c>
      <x:c r="E29" s="96" t="str">
        <x:v>Defense</x:v>
      </x:c>
      <x:c r="F29" s="96" t="str">
        <x:v>Pending</x:v>
      </x:c>
      <x:c r="G29" s="96" t="str"/>
      <x:c r="H29" s="96" t="str"/>
      <x:c r="I29" s="96" t="str"/>
      <x:c r="J29" s="96" t="str"/>
      <x:c r="K29" s="96" t="str"/>
      <x:c r="L29" s="96" t="str"/>
      <x:c r="M29" s="96" t="str"/>
      <x:c r="N29" s="96" t="str"/>
      <x:c r="O29" s="96" t="str"/>
      <x:c r="P29" s="96" t="str"/>
      <x:c r="Q29" s="96" t="str"/>
      <x:c r="R29" s="96" t="str"/>
      <x:c r="S29" s="96" t="str"/>
      <x:c r="T29" s="96" t="str"/>
      <x:c r="U29" s="96" t="str"/>
      <x:c r="V29" s="96" t="str"/>
      <x:c r="W29" s="96" t="str"/>
      <x:c r="X29" s="96" t="str"/>
      <x:c r="Y29" s="96" t="str"/>
      <x:c r="Z29" s="96" t="str"/>
      <x:c r="AA29" s="96" t="str"/>
      <x:c r="AB29" s="96" t="str"/>
      <x:c r="AC29" s="96" t="str"/>
      <x:c r="AD29" s="96" t="str"/>
      <x:c r="AE29" s="96" t="str"/>
      <x:c r="AF29" s="96" t="str"/>
      <x:c r="AG29" s="96" t="str">
        <x:v>Not started</x:v>
      </x:c>
      <x:c r="AH29" s="96" t="str"/>
    </x:row>
    <x:row r="30">
      <x:c r="A30" s="96" t="n">
        <x:v>35</x:v>
      </x:c>
      <x:c r="B30" s="96" t="str">
        <x:v>PROV-AGENT — unified provenance for agent interactions</x:v>
      </x:c>
      <x:c r="C30" s="96" t="n">
        <x:v>2025</x:v>
      </x:c>
      <x:c r="D30" s="96" t="str">
        <x:v>Peer-reviewed</x:v>
      </x:c>
      <x:c r="E30" s="96" t="str">
        <x:v>Provenance/System</x:v>
      </x:c>
      <x:c r="F30" s="96" t="str">
        <x:v>Pending</x:v>
      </x:c>
      <x:c r="G30" s="96" t="str"/>
      <x:c r="H30" s="96" t="str"/>
      <x:c r="I30" s="96" t="str"/>
      <x:c r="J30" s="96" t="str"/>
      <x:c r="K30" s="96" t="str"/>
      <x:c r="L30" s="96" t="str"/>
      <x:c r="M30" s="96" t="str"/>
      <x:c r="N30" s="96" t="str"/>
      <x:c r="O30" s="96" t="str"/>
      <x:c r="P30" s="96" t="str"/>
      <x:c r="Q30" s="96" t="str"/>
      <x:c r="R30" s="96" t="str"/>
      <x:c r="S30" s="96" t="str"/>
      <x:c r="T30" s="96" t="str"/>
      <x:c r="U30" s="96" t="str"/>
      <x:c r="V30" s="96" t="str"/>
      <x:c r="W30" s="96" t="str"/>
      <x:c r="X30" s="96" t="str"/>
      <x:c r="Y30" s="96" t="str"/>
      <x:c r="Z30" s="96" t="str"/>
      <x:c r="AA30" s="96" t="str"/>
      <x:c r="AB30" s="96" t="str"/>
      <x:c r="AC30" s="96" t="str"/>
      <x:c r="AD30" s="96" t="str"/>
      <x:c r="AE30" s="96" t="str"/>
      <x:c r="AF30" s="96" t="str"/>
      <x:c r="AG30" s="96" t="str">
        <x:v>Not started</x:v>
      </x:c>
      <x:c r="AH30" s="96" t="str"/>
    </x:row>
    <x:row r="31">
      <x:c r="A31" s="96" t="n">
        <x:v>36</x:v>
      </x:c>
      <x:c r="B31" s="96" t="str">
        <x:v>MemOS — a memory OS for AI</x:v>
      </x:c>
      <x:c r="C31" s="96" t="n">
        <x:v>2025</x:v>
      </x:c>
      <x:c r="D31" s="96" t="str">
        <x:v>Preprint</x:v>
      </x:c>
      <x:c r="E31" s="96" t="str">
        <x:v>Provenance/System</x:v>
      </x:c>
      <x:c r="F31" s="96" t="str">
        <x:v>Pending</x:v>
      </x:c>
      <x:c r="G31" s="96" t="str"/>
      <x:c r="H31" s="96" t="str"/>
      <x:c r="I31" s="96" t="str"/>
      <x:c r="J31" s="96" t="str"/>
      <x:c r="K31" s="96" t="str"/>
      <x:c r="L31" s="96" t="str"/>
      <x:c r="M31" s="96" t="str"/>
      <x:c r="N31" s="96" t="str"/>
      <x:c r="O31" s="96" t="str"/>
      <x:c r="P31" s="96" t="str"/>
      <x:c r="Q31" s="96" t="str"/>
      <x:c r="R31" s="96" t="str"/>
      <x:c r="S31" s="96" t="str"/>
      <x:c r="T31" s="96" t="str"/>
      <x:c r="U31" s="96" t="str"/>
      <x:c r="V31" s="96" t="str"/>
      <x:c r="W31" s="96" t="str"/>
      <x:c r="X31" s="96" t="str"/>
      <x:c r="Y31" s="96" t="str"/>
      <x:c r="Z31" s="96" t="str"/>
      <x:c r="AA31" s="96" t="str"/>
      <x:c r="AB31" s="96" t="str"/>
      <x:c r="AC31" s="96" t="str"/>
      <x:c r="AD31" s="96" t="str"/>
      <x:c r="AE31" s="96" t="str"/>
      <x:c r="AF31" s="96" t="str"/>
      <x:c r="AG31" s="96" t="str">
        <x:v>Not started</x:v>
      </x:c>
      <x:c r="AH31" s="96" t="str"/>
    </x:row>
    <x:row r="32">
      <x:c r="A32" s="96" t="n">
        <x:v>37</x:v>
      </x:c>
      <x:c r="B32" s="96" t="str">
        <x:v>MemLineage — lineage-guided enforcement for agent memory</x:v>
      </x:c>
      <x:c r="C32" s="96" t="n">
        <x:v>2026</x:v>
      </x:c>
      <x:c r="D32" s="96" t="str">
        <x:v>Preprint</x:v>
      </x:c>
      <x:c r="E32" s="96" t="str">
        <x:v>Defense</x:v>
      </x:c>
      <x:c r="F32" s="96" t="str">
        <x:v>Pending</x:v>
      </x:c>
      <x:c r="G32" s="96" t="str"/>
      <x:c r="H32" s="96" t="str"/>
      <x:c r="I32" s="96" t="str"/>
      <x:c r="J32" s="96" t="str"/>
      <x:c r="K32" s="96" t="str"/>
      <x:c r="L32" s="96" t="str"/>
      <x:c r="M32" s="96" t="str"/>
      <x:c r="N32" s="96" t="str"/>
      <x:c r="O32" s="96" t="str"/>
      <x:c r="P32" s="96" t="str"/>
      <x:c r="Q32" s="96" t="str"/>
      <x:c r="R32" s="96" t="str"/>
      <x:c r="S32" s="96" t="str"/>
      <x:c r="T32" s="96" t="str"/>
      <x:c r="U32" s="96" t="str"/>
      <x:c r="V32" s="96" t="str"/>
      <x:c r="W32" s="96" t="str"/>
      <x:c r="X32" s="96" t="str"/>
      <x:c r="Y32" s="96" t="str"/>
      <x:c r="Z32" s="96" t="str"/>
      <x:c r="AA32" s="96" t="str"/>
      <x:c r="AB32" s="96" t="str"/>
      <x:c r="AC32" s="96" t="str"/>
      <x:c r="AD32" s="96" t="str"/>
      <x:c r="AE32" s="96" t="str"/>
      <x:c r="AF32" s="96" t="str"/>
      <x:c r="AG32" s="96" t="str">
        <x:v>Not started</x:v>
      </x:c>
      <x:c r="AH32" s="96" t="str"/>
    </x:row>
    <x:row r="33">
      <x:c r="A33" s="96" t="n">
        <x:v>38</x:v>
      </x:c>
      <x:c r="B33" s="96" t="str">
        <x:v>Origin-bound Authority (non-malleable) against poisoning</x:v>
      </x:c>
      <x:c r="C33" s="96" t="n">
        <x:v>2026</x:v>
      </x:c>
      <x:c r="D33" s="96" t="str">
        <x:v>Preprint</x:v>
      </x:c>
      <x:c r="E33" s="96" t="str">
        <x:v>Defense</x:v>
      </x:c>
      <x:c r="F33" s="96" t="str">
        <x:v>Pending</x:v>
      </x:c>
      <x:c r="G33" s="96" t="str"/>
      <x:c r="H33" s="96" t="str"/>
      <x:c r="I33" s="96" t="str"/>
      <x:c r="J33" s="96" t="str"/>
      <x:c r="K33" s="96" t="str"/>
      <x:c r="L33" s="96" t="str"/>
      <x:c r="M33" s="96" t="str"/>
      <x:c r="N33" s="96" t="str"/>
      <x:c r="O33" s="96" t="str"/>
      <x:c r="P33" s="96" t="str"/>
      <x:c r="Q33" s="96" t="str"/>
      <x:c r="R33" s="96" t="str"/>
      <x:c r="S33" s="96" t="str"/>
      <x:c r="T33" s="96" t="str"/>
      <x:c r="U33" s="96" t="str"/>
      <x:c r="V33" s="96" t="str"/>
      <x:c r="W33" s="96" t="str"/>
      <x:c r="X33" s="96" t="str"/>
      <x:c r="Y33" s="96" t="str"/>
      <x:c r="Z33" s="96" t="str"/>
      <x:c r="AA33" s="96" t="str"/>
      <x:c r="AB33" s="96" t="str"/>
      <x:c r="AC33" s="96" t="str"/>
      <x:c r="AD33" s="96" t="str"/>
      <x:c r="AE33" s="96" t="str"/>
      <x:c r="AF33" s="96" t="str"/>
      <x:c r="AG33" s="96" t="str">
        <x:v>Not started</x:v>
      </x:c>
      <x:c r="AH33" s="96" t="str"/>
    </x:row>
    <x:row r="34">
      <x:c r="A34" s="96" t="n">
        <x:v>39</x:v>
      </x:c>
      <x:c r="B34" s="96" t="str">
        <x:v>MemAudit — post-hoc auditing via causal attribution</x:v>
      </x:c>
      <x:c r="C34" s="96" t="n">
        <x:v>2026</x:v>
      </x:c>
      <x:c r="D34" s="96" t="str">
        <x:v>Preprint</x:v>
      </x:c>
      <x:c r="E34" s="96" t="str">
        <x:v>Defense</x:v>
      </x:c>
      <x:c r="F34" s="96" t="str">
        <x:v>Pending</x:v>
      </x:c>
      <x:c r="G34" s="96" t="str"/>
      <x:c r="H34" s="96" t="str"/>
      <x:c r="I34" s="96" t="str"/>
      <x:c r="J34" s="96" t="str"/>
      <x:c r="K34" s="96" t="str"/>
      <x:c r="L34" s="96" t="str"/>
      <x:c r="M34" s="96" t="str"/>
      <x:c r="N34" s="96" t="str"/>
      <x:c r="O34" s="96" t="str"/>
      <x:c r="P34" s="96" t="str"/>
      <x:c r="Q34" s="96" t="str"/>
      <x:c r="R34" s="96" t="str"/>
      <x:c r="S34" s="96" t="str"/>
      <x:c r="T34" s="96" t="str"/>
      <x:c r="U34" s="96" t="str"/>
      <x:c r="V34" s="96" t="str"/>
      <x:c r="W34" s="96" t="str"/>
      <x:c r="X34" s="96" t="str"/>
      <x:c r="Y34" s="96" t="str"/>
      <x:c r="Z34" s="96" t="str"/>
      <x:c r="AA34" s="96" t="str"/>
      <x:c r="AB34" s="96" t="str"/>
      <x:c r="AC34" s="96" t="str"/>
      <x:c r="AD34" s="96" t="str"/>
      <x:c r="AE34" s="96" t="str"/>
      <x:c r="AF34" s="96" t="str"/>
      <x:c r="AG34" s="96" t="str">
        <x:v>Not started</x:v>
      </x:c>
      <x:c r="AH34" s="96" t="str"/>
    </x:row>
    <x:row r="35">
      <x:c r="A35" s="96" t="n">
        <x:v>40</x:v>
      </x:c>
      <x:c r="B35" s="96" t="str">
        <x:v>Forensic Trajectory Signatures — behavioural detection of poisoning</x:v>
      </x:c>
      <x:c r="C35" s="96" t="n">
        <x:v>2026</x:v>
      </x:c>
      <x:c r="D35" s="96" t="str">
        <x:v>Preprint</x:v>
      </x:c>
      <x:c r="E35" s="96" t="str">
        <x:v>Defense</x:v>
      </x:c>
      <x:c r="F35" s="96" t="str">
        <x:v>Pending</x:v>
      </x:c>
      <x:c r="G35" s="96" t="str"/>
      <x:c r="H35" s="96" t="str"/>
      <x:c r="I35" s="96" t="str"/>
      <x:c r="J35" s="96" t="str"/>
      <x:c r="K35" s="96" t="str"/>
      <x:c r="L35" s="96" t="str"/>
      <x:c r="M35" s="96" t="str"/>
      <x:c r="N35" s="96" t="str"/>
      <x:c r="O35" s="96" t="str"/>
      <x:c r="P35" s="96" t="str"/>
      <x:c r="Q35" s="96" t="str"/>
      <x:c r="R35" s="96" t="str"/>
      <x:c r="S35" s="96" t="str"/>
      <x:c r="T35" s="96" t="str"/>
      <x:c r="U35" s="96" t="str"/>
      <x:c r="V35" s="96" t="str"/>
      <x:c r="W35" s="96" t="str"/>
      <x:c r="X35" s="96" t="str"/>
      <x:c r="Y35" s="96" t="str"/>
      <x:c r="Z35" s="96" t="str"/>
      <x:c r="AA35" s="96" t="str"/>
      <x:c r="AB35" s="96" t="str"/>
      <x:c r="AC35" s="96" t="str"/>
      <x:c r="AD35" s="96" t="str"/>
      <x:c r="AE35" s="96" t="str"/>
      <x:c r="AF35" s="96" t="str"/>
      <x:c r="AG35" s="96" t="str">
        <x:v>Not started</x:v>
      </x:c>
      <x:c r="AH35" s="96" t="str"/>
    </x:row>
    <x:row r="36">
      <x:c r="A36" s="96" t="n">
        <x:v>41</x:v>
      </x:c>
      <x:c r="B36" s="96" t="str">
        <x:v>RobustRAG — certifiably robust RAG vs retrieval corruption</x:v>
      </x:c>
      <x:c r="C36" s="96" t="n">
        <x:v>2026</x:v>
      </x:c>
      <x:c r="D36" s="96" t="str">
        <x:v>Peer-reviewed</x:v>
      </x:c>
      <x:c r="E36" s="96" t="str">
        <x:v>Defense</x:v>
      </x:c>
      <x:c r="F36" s="96" t="str">
        <x:v>Pending</x:v>
      </x:c>
      <x:c r="G36" s="96" t="str"/>
      <x:c r="H36" s="96" t="str"/>
      <x:c r="I36" s="96" t="str"/>
      <x:c r="J36" s="96" t="str"/>
      <x:c r="K36" s="96" t="str"/>
      <x:c r="L36" s="96" t="str"/>
      <x:c r="M36" s="96" t="str"/>
      <x:c r="N36" s="96" t="str"/>
      <x:c r="O36" s="96" t="str"/>
      <x:c r="P36" s="96" t="str"/>
      <x:c r="Q36" s="96" t="str"/>
      <x:c r="R36" s="96" t="str"/>
      <x:c r="S36" s="96" t="str"/>
      <x:c r="T36" s="96" t="str"/>
      <x:c r="U36" s="96" t="str"/>
      <x:c r="V36" s="96" t="str"/>
      <x:c r="W36" s="96" t="str"/>
      <x:c r="X36" s="96" t="str"/>
      <x:c r="Y36" s="96" t="str"/>
      <x:c r="Z36" s="96" t="str"/>
      <x:c r="AA36" s="96" t="str"/>
      <x:c r="AB36" s="96" t="str"/>
      <x:c r="AC36" s="96" t="str"/>
      <x:c r="AD36" s="96" t="str"/>
      <x:c r="AE36" s="96" t="str"/>
      <x:c r="AF36" s="96" t="str"/>
      <x:c r="AG36" s="96" t="str">
        <x:v>Not started</x:v>
      </x:c>
      <x:c r="AH36" s="96" t="str"/>
    </x:row>
    <x:row r="37">
      <x:c r="A37" s="96" t="n">
        <x:v>42</x:v>
      </x:c>
      <x:c r="B37" s="96" t="str">
        <x:v>A-MemGuard — proactive defense for agent memory</x:v>
      </x:c>
      <x:c r="C37" s="96" t="n">
        <x:v>2025</x:v>
      </x:c>
      <x:c r="D37" s="96" t="str">
        <x:v>Preprint</x:v>
      </x:c>
      <x:c r="E37" s="96" t="str">
        <x:v>Defense</x:v>
      </x:c>
      <x:c r="F37" s="96" t="str">
        <x:v>Pending</x:v>
      </x:c>
      <x:c r="G37" s="96" t="str"/>
      <x:c r="H37" s="96" t="str"/>
      <x:c r="I37" s="96" t="str"/>
      <x:c r="J37" s="96" t="str"/>
      <x:c r="K37" s="96" t="str"/>
      <x:c r="L37" s="96" t="str"/>
      <x:c r="M37" s="96" t="str"/>
      <x:c r="N37" s="96" t="str"/>
      <x:c r="O37" s="96" t="str"/>
      <x:c r="P37" s="96" t="str"/>
      <x:c r="Q37" s="96" t="str"/>
      <x:c r="R37" s="96" t="str"/>
      <x:c r="S37" s="96" t="str"/>
      <x:c r="T37" s="96" t="str"/>
      <x:c r="U37" s="96" t="str"/>
      <x:c r="V37" s="96" t="str"/>
      <x:c r="W37" s="96" t="str"/>
      <x:c r="X37" s="96" t="str"/>
      <x:c r="Y37" s="96" t="str"/>
      <x:c r="Z37" s="96" t="str"/>
      <x:c r="AA37" s="96" t="str"/>
      <x:c r="AB37" s="96" t="str"/>
      <x:c r="AC37" s="96" t="str"/>
      <x:c r="AD37" s="96" t="str"/>
      <x:c r="AE37" s="96" t="str"/>
      <x:c r="AF37" s="96" t="str"/>
      <x:c r="AG37" s="96" t="str">
        <x:v>Not started</x:v>
      </x:c>
      <x:c r="AH37" s="96" t="str"/>
    </x:row>
    <x:row r="38">
      <x:c r="A38" s="96" t="n">
        <x:v>43</x:v>
      </x:c>
      <x:c r="B38" s="96" t="str">
        <x:v>TrustRAG — robust &amp; trustworthy RAG</x:v>
      </x:c>
      <x:c r="C38" s="96" t="n">
        <x:v>2025</x:v>
      </x:c>
      <x:c r="D38" s="96" t="str">
        <x:v>Preprint</x:v>
      </x:c>
      <x:c r="E38" s="96" t="str">
        <x:v>Defense</x:v>
      </x:c>
      <x:c r="F38" s="96" t="str">
        <x:v>Pending</x:v>
      </x:c>
      <x:c r="G38" s="96" t="str"/>
      <x:c r="H38" s="96" t="str"/>
      <x:c r="I38" s="96" t="str"/>
      <x:c r="J38" s="96" t="str"/>
      <x:c r="K38" s="96" t="str"/>
      <x:c r="L38" s="96" t="str"/>
      <x:c r="M38" s="96" t="str"/>
      <x:c r="N38" s="96" t="str"/>
      <x:c r="O38" s="96" t="str"/>
      <x:c r="P38" s="96" t="str"/>
      <x:c r="Q38" s="96" t="str"/>
      <x:c r="R38" s="96" t="str"/>
      <x:c r="S38" s="96" t="str"/>
      <x:c r="T38" s="96" t="str"/>
      <x:c r="U38" s="96" t="str"/>
      <x:c r="V38" s="96" t="str"/>
      <x:c r="W38" s="96" t="str"/>
      <x:c r="X38" s="96" t="str"/>
      <x:c r="Y38" s="96" t="str"/>
      <x:c r="Z38" s="96" t="str"/>
      <x:c r="AA38" s="96" t="str"/>
      <x:c r="AB38" s="96" t="str"/>
      <x:c r="AC38" s="96" t="str"/>
      <x:c r="AD38" s="96" t="str"/>
      <x:c r="AE38" s="96" t="str"/>
      <x:c r="AF38" s="96" t="str"/>
      <x:c r="AG38" s="96" t="str">
        <x:v>Not started</x:v>
      </x:c>
      <x:c r="AH38" s="96" t="str"/>
    </x:row>
    <x:row r="39">
      <x:c r="A39" s="96" t="n">
        <x:v>44</x:v>
      </x:c>
      <x:c r="B39" s="96" t="str">
        <x:v>SeCon-RAG — semantic filtering + conflict-free RAG</x:v>
      </x:c>
      <x:c r="C39" s="96" t="n">
        <x:v>2025</x:v>
      </x:c>
      <x:c r="D39" s="96" t="str">
        <x:v>Peer-reviewed</x:v>
      </x:c>
      <x:c r="E39" s="96" t="str">
        <x:v>Defense</x:v>
      </x:c>
      <x:c r="F39" s="96" t="str">
        <x:v>Pending</x:v>
      </x:c>
      <x:c r="G39" s="96" t="str"/>
      <x:c r="H39" s="96" t="str"/>
      <x:c r="I39" s="96" t="str"/>
      <x:c r="J39" s="96" t="str"/>
      <x:c r="K39" s="96" t="str"/>
      <x:c r="L39" s="96" t="str"/>
      <x:c r="M39" s="96" t="str"/>
      <x:c r="N39" s="96" t="str"/>
      <x:c r="O39" s="96" t="str"/>
      <x:c r="P39" s="96" t="str"/>
      <x:c r="Q39" s="96" t="str"/>
      <x:c r="R39" s="96" t="str"/>
      <x:c r="S39" s="96" t="str"/>
      <x:c r="T39" s="96" t="str"/>
      <x:c r="U39" s="96" t="str"/>
      <x:c r="V39" s="96" t="str"/>
      <x:c r="W39" s="96" t="str"/>
      <x:c r="X39" s="96" t="str"/>
      <x:c r="Y39" s="96" t="str"/>
      <x:c r="Z39" s="96" t="str"/>
      <x:c r="AA39" s="96" t="str"/>
      <x:c r="AB39" s="96" t="str"/>
      <x:c r="AC39" s="96" t="str"/>
      <x:c r="AD39" s="96" t="str"/>
      <x:c r="AE39" s="96" t="str"/>
      <x:c r="AF39" s="96" t="str"/>
      <x:c r="AG39" s="96" t="str">
        <x:v>Not started</x:v>
      </x:c>
      <x:c r="AH39" s="96" t="str"/>
    </x:row>
    <x:row r="40">
      <x:c r="A40" s="96" t="n">
        <x:v>45</x:v>
      </x:c>
      <x:c r="B40" s="96" t="str">
        <x:v>RevPRAG — poisoning detection via activations</x:v>
      </x:c>
      <x:c r="C40" s="96" t="n">
        <x:v>2025</x:v>
      </x:c>
      <x:c r="D40" s="96" t="str">
        <x:v>Peer-reviewed</x:v>
      </x:c>
      <x:c r="E40" s="96" t="str">
        <x:v>Defense</x:v>
      </x:c>
      <x:c r="F40" s="96" t="str">
        <x:v>Pending</x:v>
      </x:c>
      <x:c r="G40" s="96" t="str"/>
      <x:c r="H40" s="96" t="str"/>
      <x:c r="I40" s="96" t="str"/>
      <x:c r="J40" s="96" t="str"/>
      <x:c r="K40" s="96" t="str"/>
      <x:c r="L40" s="96" t="str"/>
      <x:c r="M40" s="96" t="str"/>
      <x:c r="N40" s="96" t="str"/>
      <x:c r="O40" s="96" t="str"/>
      <x:c r="P40" s="96" t="str"/>
      <x:c r="Q40" s="96" t="str"/>
      <x:c r="R40" s="96" t="str"/>
      <x:c r="S40" s="96" t="str"/>
      <x:c r="T40" s="96" t="str"/>
      <x:c r="U40" s="96" t="str"/>
      <x:c r="V40" s="96" t="str"/>
      <x:c r="W40" s="96" t="str"/>
      <x:c r="X40" s="96" t="str"/>
      <x:c r="Y40" s="96" t="str"/>
      <x:c r="Z40" s="96" t="str"/>
      <x:c r="AA40" s="96" t="str"/>
      <x:c r="AB40" s="96" t="str"/>
      <x:c r="AC40" s="96" t="str"/>
      <x:c r="AD40" s="96" t="str"/>
      <x:c r="AE40" s="96" t="str"/>
      <x:c r="AF40" s="96" t="str"/>
      <x:c r="AG40" s="96" t="str">
        <x:v>Not started</x:v>
      </x:c>
      <x:c r="AH40" s="96" t="str"/>
    </x:row>
    <x:row r="41">
      <x:c r="A41" s="96" t="n">
        <x:v>46</x:v>
      </x:c>
      <x:c r="B41" s="96" t="str">
        <x:v>CaMeL — defeating prompt injection by design</x:v>
      </x:c>
      <x:c r="C41" s="96" t="n">
        <x:v>2025</x:v>
      </x:c>
      <x:c r="D41" s="96" t="str">
        <x:v>Preprint</x:v>
      </x:c>
      <x:c r="E41" s="96" t="str">
        <x:v>Defense</x:v>
      </x:c>
      <x:c r="F41" s="96" t="str">
        <x:v>Pending</x:v>
      </x:c>
      <x:c r="G41" s="96" t="str"/>
      <x:c r="H41" s="96" t="str"/>
      <x:c r="I41" s="96" t="str"/>
      <x:c r="J41" s="96" t="str"/>
      <x:c r="K41" s="96" t="str"/>
      <x:c r="L41" s="96" t="str"/>
      <x:c r="M41" s="96" t="str"/>
      <x:c r="N41" s="96" t="str"/>
      <x:c r="O41" s="96" t="str"/>
      <x:c r="P41" s="96" t="str"/>
      <x:c r="Q41" s="96" t="str"/>
      <x:c r="R41" s="96" t="str"/>
      <x:c r="S41" s="96" t="str"/>
      <x:c r="T41" s="96" t="str"/>
      <x:c r="U41" s="96" t="str"/>
      <x:c r="V41" s="96" t="str"/>
      <x:c r="W41" s="96" t="str"/>
      <x:c r="X41" s="96" t="str"/>
      <x:c r="Y41" s="96" t="str"/>
      <x:c r="Z41" s="96" t="str"/>
      <x:c r="AA41" s="96" t="str"/>
      <x:c r="AB41" s="96" t="str"/>
      <x:c r="AC41" s="96" t="str"/>
      <x:c r="AD41" s="96" t="str"/>
      <x:c r="AE41" s="96" t="str"/>
      <x:c r="AF41" s="96" t="str"/>
      <x:c r="AG41" s="96" t="str">
        <x:v>Not started</x:v>
      </x:c>
      <x:c r="AH41" s="96" t="str"/>
    </x:row>
    <x:row r="42">
      <x:c r="A42" s="96" t="n">
        <x:v>47</x:v>
      </x:c>
      <x:c r="B42" s="96" t="str">
        <x:v>FIDES — securing agents with information-flow control</x:v>
      </x:c>
      <x:c r="C42" s="96" t="n">
        <x:v>2025</x:v>
      </x:c>
      <x:c r="D42" s="96" t="str">
        <x:v>Preprint</x:v>
      </x:c>
      <x:c r="E42" s="96" t="str">
        <x:v>Defense</x:v>
      </x:c>
      <x:c r="F42" s="96" t="str">
        <x:v>Pending</x:v>
      </x:c>
      <x:c r="G42" s="96" t="str"/>
      <x:c r="H42" s="96" t="str"/>
      <x:c r="I42" s="96" t="str"/>
      <x:c r="J42" s="96" t="str"/>
      <x:c r="K42" s="96" t="str"/>
      <x:c r="L42" s="96" t="str"/>
      <x:c r="M42" s="96" t="str"/>
      <x:c r="N42" s="96" t="str"/>
      <x:c r="O42" s="96" t="str"/>
      <x:c r="P42" s="96" t="str"/>
      <x:c r="Q42" s="96" t="str"/>
      <x:c r="R42" s="96" t="str"/>
      <x:c r="S42" s="96" t="str"/>
      <x:c r="T42" s="96" t="str"/>
      <x:c r="U42" s="96" t="str"/>
      <x:c r="V42" s="96" t="str"/>
      <x:c r="W42" s="96" t="str"/>
      <x:c r="X42" s="96" t="str"/>
      <x:c r="Y42" s="96" t="str"/>
      <x:c r="Z42" s="96" t="str"/>
      <x:c r="AA42" s="96" t="str"/>
      <x:c r="AB42" s="96" t="str"/>
      <x:c r="AC42" s="96" t="str"/>
      <x:c r="AD42" s="96" t="str"/>
      <x:c r="AE42" s="96" t="str"/>
      <x:c r="AF42" s="96" t="str"/>
      <x:c r="AG42" s="96" t="str">
        <x:v>Not started</x:v>
      </x:c>
      <x:c r="AH42" s="96" t="str"/>
    </x:row>
    <x:row r="43">
      <x:c r="A43" s="96" t="n">
        <x:v>48</x:v>
      </x:c>
      <x:c r="B43" s="96" t="str">
        <x:v>Progent — programmable privilege control</x:v>
      </x:c>
      <x:c r="C43" s="96" t="n">
        <x:v>2025</x:v>
      </x:c>
      <x:c r="D43" s="96" t="str">
        <x:v>Preprint</x:v>
      </x:c>
      <x:c r="E43" s="96" t="str">
        <x:v>Defense</x:v>
      </x:c>
      <x:c r="F43" s="96" t="str">
        <x:v>Pending</x:v>
      </x:c>
      <x:c r="G43" s="96" t="str"/>
      <x:c r="H43" s="96" t="str"/>
      <x:c r="I43" s="96" t="str"/>
      <x:c r="J43" s="96" t="str"/>
      <x:c r="K43" s="96" t="str"/>
      <x:c r="L43" s="96" t="str"/>
      <x:c r="M43" s="96" t="str"/>
      <x:c r="N43" s="96" t="str"/>
      <x:c r="O43" s="96" t="str"/>
      <x:c r="P43" s="96" t="str"/>
      <x:c r="Q43" s="96" t="str"/>
      <x:c r="R43" s="96" t="str"/>
      <x:c r="S43" s="96" t="str"/>
      <x:c r="T43" s="96" t="str"/>
      <x:c r="U43" s="96" t="str"/>
      <x:c r="V43" s="96" t="str"/>
      <x:c r="W43" s="96" t="str"/>
      <x:c r="X43" s="96" t="str"/>
      <x:c r="Y43" s="96" t="str"/>
      <x:c r="Z43" s="96" t="str"/>
      <x:c r="AA43" s="96" t="str"/>
      <x:c r="AB43" s="96" t="str"/>
      <x:c r="AC43" s="96" t="str"/>
      <x:c r="AD43" s="96" t="str"/>
      <x:c r="AE43" s="96" t="str"/>
      <x:c r="AF43" s="96" t="str"/>
      <x:c r="AG43" s="96" t="str">
        <x:v>Not started</x:v>
      </x:c>
      <x:c r="AH43" s="96" t="str"/>
    </x:row>
    <x:row r="44">
      <x:c r="A44" s="96" t="n">
        <x:v>49</x:v>
      </x:c>
      <x:c r="B44" s="96" t="str">
        <x:v>IsolateGPT — execution isolation architecture</x:v>
      </x:c>
      <x:c r="C44" s="96" t="n">
        <x:v>2025</x:v>
      </x:c>
      <x:c r="D44" s="96" t="str">
        <x:v>Peer-reviewed</x:v>
      </x:c>
      <x:c r="E44" s="96" t="str">
        <x:v>Defense</x:v>
      </x:c>
      <x:c r="F44" s="96" t="str">
        <x:v>Pending</x:v>
      </x:c>
      <x:c r="G44" s="96" t="str"/>
      <x:c r="H44" s="96" t="str"/>
      <x:c r="I44" s="96" t="str"/>
      <x:c r="J44" s="96" t="str"/>
      <x:c r="K44" s="96" t="str"/>
      <x:c r="L44" s="96" t="str"/>
      <x:c r="M44" s="96" t="str"/>
      <x:c r="N44" s="96" t="str"/>
      <x:c r="O44" s="96" t="str"/>
      <x:c r="P44" s="96" t="str"/>
      <x:c r="Q44" s="96" t="str"/>
      <x:c r="R44" s="96" t="str"/>
      <x:c r="S44" s="96" t="str"/>
      <x:c r="T44" s="96" t="str"/>
      <x:c r="U44" s="96" t="str"/>
      <x:c r="V44" s="96" t="str"/>
      <x:c r="W44" s="96" t="str"/>
      <x:c r="X44" s="96" t="str"/>
      <x:c r="Y44" s="96" t="str"/>
      <x:c r="Z44" s="96" t="str"/>
      <x:c r="AA44" s="96" t="str"/>
      <x:c r="AB44" s="96" t="str"/>
      <x:c r="AC44" s="96" t="str"/>
      <x:c r="AD44" s="96" t="str"/>
      <x:c r="AE44" s="96" t="str"/>
      <x:c r="AF44" s="96" t="str"/>
      <x:c r="AG44" s="96" t="str">
        <x:v>Not started</x:v>
      </x:c>
      <x:c r="AH44" s="96" t="str"/>
    </x:row>
    <x:row r="45">
      <x:c r="A45" s="96" t="n">
        <x:v>50</x:v>
      </x:c>
      <x:c r="B45" s="96" t="str">
        <x:v>Collaborative Memory — multi-user sharing w/ dynamic access control</x:v>
      </x:c>
      <x:c r="C45" s="96" t="n">
        <x:v>2025</x:v>
      </x:c>
      <x:c r="D45" s="96" t="str">
        <x:v>Preprint</x:v>
      </x:c>
      <x:c r="E45" s="96" t="str">
        <x:v>Defense</x:v>
      </x:c>
      <x:c r="F45" s="96" t="str">
        <x:v>Pending</x:v>
      </x:c>
      <x:c r="G45" s="96" t="str"/>
      <x:c r="H45" s="96" t="str"/>
      <x:c r="I45" s="96" t="str"/>
      <x:c r="J45" s="96" t="str"/>
      <x:c r="K45" s="96" t="str"/>
      <x:c r="L45" s="96" t="str"/>
      <x:c r="M45" s="96" t="str"/>
      <x:c r="N45" s="96" t="str"/>
      <x:c r="O45" s="96" t="str"/>
      <x:c r="P45" s="96" t="str"/>
      <x:c r="Q45" s="96" t="str"/>
      <x:c r="R45" s="96" t="str"/>
      <x:c r="S45" s="96" t="str"/>
      <x:c r="T45" s="96" t="str"/>
      <x:c r="U45" s="96" t="str"/>
      <x:c r="V45" s="96" t="str"/>
      <x:c r="W45" s="96" t="str"/>
      <x:c r="X45" s="96" t="str"/>
      <x:c r="Y45" s="96" t="str"/>
      <x:c r="Z45" s="96" t="str"/>
      <x:c r="AA45" s="96" t="str"/>
      <x:c r="AB45" s="96" t="str"/>
      <x:c r="AC45" s="96" t="str"/>
      <x:c r="AD45" s="96" t="str"/>
      <x:c r="AE45" s="96" t="str"/>
      <x:c r="AF45" s="96" t="str"/>
      <x:c r="AG45" s="96" t="str">
        <x:v>Not started</x:v>
      </x:c>
      <x:c r="AH45" s="96" t="str"/>
    </x:row>
    <x:row r="46">
      <x:c r="A46" s="96" t="n">
        <x:v>51</x:v>
      </x:c>
      <x:c r="B46" s="96" t="str">
        <x:v>BlindGuard — safeguarding multi-agent systems, unknown attacks</x:v>
      </x:c>
      <x:c r="C46" s="96" t="n">
        <x:v>2025</x:v>
      </x:c>
      <x:c r="D46" s="96" t="str">
        <x:v>Preprint</x:v>
      </x:c>
      <x:c r="E46" s="96" t="str">
        <x:v>Defense</x:v>
      </x:c>
      <x:c r="F46" s="96" t="str">
        <x:v>Pending</x:v>
      </x:c>
      <x:c r="G46" s="96" t="str"/>
      <x:c r="H46" s="96" t="str"/>
      <x:c r="I46" s="96" t="str"/>
      <x:c r="J46" s="96" t="str"/>
      <x:c r="K46" s="96" t="str"/>
      <x:c r="L46" s="96" t="str"/>
      <x:c r="M46" s="96" t="str"/>
      <x:c r="N46" s="96" t="str"/>
      <x:c r="O46" s="96" t="str"/>
      <x:c r="P46" s="96" t="str"/>
      <x:c r="Q46" s="96" t="str"/>
      <x:c r="R46" s="96" t="str"/>
      <x:c r="S46" s="96" t="str"/>
      <x:c r="T46" s="96" t="str"/>
      <x:c r="U46" s="96" t="str"/>
      <x:c r="V46" s="96" t="str"/>
      <x:c r="W46" s="96" t="str"/>
      <x:c r="X46" s="96" t="str"/>
      <x:c r="Y46" s="96" t="str"/>
      <x:c r="Z46" s="96" t="str"/>
      <x:c r="AA46" s="96" t="str"/>
      <x:c r="AB46" s="96" t="str"/>
      <x:c r="AC46" s="96" t="str"/>
      <x:c r="AD46" s="96" t="str"/>
      <x:c r="AE46" s="96" t="str"/>
      <x:c r="AF46" s="96" t="str"/>
      <x:c r="AG46" s="96" t="str">
        <x:v>Not started</x:v>
      </x:c>
      <x:c r="AH46" s="96" t="str"/>
    </x:row>
    <x:row r="47">
      <x:c r="A47" s="96" t="n">
        <x:v>52</x:v>
      </x:c>
      <x:c r="B47" s="96" t="str">
        <x:v>RAGForensics — traceback of poisoning to RAG</x:v>
      </x:c>
      <x:c r="C47" s="96" t="n">
        <x:v>2025</x:v>
      </x:c>
      <x:c r="D47" s="96" t="str">
        <x:v>Peer-reviewed</x:v>
      </x:c>
      <x:c r="E47" s="96" t="str">
        <x:v>Defense</x:v>
      </x:c>
      <x:c r="F47" s="96" t="str">
        <x:v>Pending</x:v>
      </x:c>
      <x:c r="G47" s="96" t="str"/>
      <x:c r="H47" s="96" t="str"/>
      <x:c r="I47" s="96" t="str"/>
      <x:c r="J47" s="96" t="str"/>
      <x:c r="K47" s="96" t="str"/>
      <x:c r="L47" s="96" t="str"/>
      <x:c r="M47" s="96" t="str"/>
      <x:c r="N47" s="96" t="str"/>
      <x:c r="O47" s="96" t="str"/>
      <x:c r="P47" s="96" t="str"/>
      <x:c r="Q47" s="96" t="str"/>
      <x:c r="R47" s="96" t="str"/>
      <x:c r="S47" s="96" t="str"/>
      <x:c r="T47" s="96" t="str"/>
      <x:c r="U47" s="96" t="str"/>
      <x:c r="V47" s="96" t="str"/>
      <x:c r="W47" s="96" t="str"/>
      <x:c r="X47" s="96" t="str"/>
      <x:c r="Y47" s="96" t="str"/>
      <x:c r="Z47" s="96" t="str"/>
      <x:c r="AA47" s="96" t="str"/>
      <x:c r="AB47" s="96" t="str"/>
      <x:c r="AC47" s="96" t="str"/>
      <x:c r="AD47" s="96" t="str"/>
      <x:c r="AE47" s="96" t="str"/>
      <x:c r="AF47" s="96" t="str"/>
      <x:c r="AG47" s="96" t="str">
        <x:v>Not started</x:v>
      </x:c>
      <x:c r="AH47" s="96" t="str"/>
    </x:row>
    <x:row r="48">
      <x:c r="A48" s="96" t="n">
        <x:v>53</x:v>
      </x:c>
      <x:c r="B48" s="96" t="str">
        <x:v>SuperLocalMemory — privacy-preserving multi-agent memory, Bayesian trust</x:v>
      </x:c>
      <x:c r="C48" s="96" t="n">
        <x:v>2026</x:v>
      </x:c>
      <x:c r="D48" s="96" t="str">
        <x:v>Preprint</x:v>
      </x:c>
      <x:c r="E48" s="96" t="str">
        <x:v>Defense</x:v>
      </x:c>
      <x:c r="F48" s="96" t="str">
        <x:v>Pending</x:v>
      </x:c>
      <x:c r="G48" s="96" t="str"/>
      <x:c r="H48" s="96" t="str"/>
      <x:c r="I48" s="96" t="str"/>
      <x:c r="J48" s="96" t="str"/>
      <x:c r="K48" s="96" t="str"/>
      <x:c r="L48" s="96" t="str"/>
      <x:c r="M48" s="96" t="str"/>
      <x:c r="N48" s="96" t="str"/>
      <x:c r="O48" s="96" t="str"/>
      <x:c r="P48" s="96" t="str"/>
      <x:c r="Q48" s="96" t="str"/>
      <x:c r="R48" s="96" t="str"/>
      <x:c r="S48" s="96" t="str"/>
      <x:c r="T48" s="96" t="str"/>
      <x:c r="U48" s="96" t="str"/>
      <x:c r="V48" s="96" t="str"/>
      <x:c r="W48" s="96" t="str"/>
      <x:c r="X48" s="96" t="str"/>
      <x:c r="Y48" s="96" t="str"/>
      <x:c r="Z48" s="96" t="str"/>
      <x:c r="AA48" s="96" t="str"/>
      <x:c r="AB48" s="96" t="str"/>
      <x:c r="AC48" s="96" t="str"/>
      <x:c r="AD48" s="96" t="str"/>
      <x:c r="AE48" s="96" t="str"/>
      <x:c r="AF48" s="96" t="str"/>
      <x:c r="AG48" s="96" t="str">
        <x:v>Not started</x:v>
      </x:c>
      <x:c r="AH48" s="96" t="str"/>
    </x:row>
    <x:row r="49">
      <x:c r="A49" s="96" t="n">
        <x:v>54</x:v>
      </x:c>
      <x:c r="B49" s="96" t="str">
        <x:v>MEMSAD — gradient-coupled anomaly detection for memory poisoning</x:v>
      </x:c>
      <x:c r="C49" s="96" t="n">
        <x:v>2026</x:v>
      </x:c>
      <x:c r="D49" s="96" t="str">
        <x:v>Preprint</x:v>
      </x:c>
      <x:c r="E49" s="96" t="str">
        <x:v>Defense</x:v>
      </x:c>
      <x:c r="F49" s="96" t="str">
        <x:v>Pending</x:v>
      </x:c>
      <x:c r="G49" s="96" t="str"/>
      <x:c r="H49" s="96" t="str"/>
      <x:c r="I49" s="96" t="str"/>
      <x:c r="J49" s="96" t="str"/>
      <x:c r="K49" s="96" t="str"/>
      <x:c r="L49" s="96" t="str"/>
      <x:c r="M49" s="96" t="str"/>
      <x:c r="N49" s="96" t="str"/>
      <x:c r="O49" s="96" t="str"/>
      <x:c r="P49" s="96" t="str"/>
      <x:c r="Q49" s="96" t="str"/>
      <x:c r="R49" s="96" t="str"/>
      <x:c r="S49" s="96" t="str"/>
      <x:c r="T49" s="96" t="str"/>
      <x:c r="U49" s="96" t="str"/>
      <x:c r="V49" s="96" t="str"/>
      <x:c r="W49" s="96" t="str"/>
      <x:c r="X49" s="96" t="str"/>
      <x:c r="Y49" s="96" t="str"/>
      <x:c r="Z49" s="96" t="str"/>
      <x:c r="AA49" s="96" t="str"/>
      <x:c r="AB49" s="96" t="str"/>
      <x:c r="AC49" s="96" t="str"/>
      <x:c r="AD49" s="96" t="str"/>
      <x:c r="AE49" s="96" t="str"/>
      <x:c r="AF49" s="96" t="str"/>
      <x:c r="AG49" s="96" t="str">
        <x:v>Not started</x:v>
      </x:c>
      <x:c r="AH49" s="96" t="str"/>
    </x:row>
    <x:row r="50">
      <x:c r="A50" s="96" t="n">
        <x:v>55</x:v>
      </x:c>
      <x:c r="B50" s="96" t="str">
        <x:v>Agentic Unlearning — LLM agent meets machine unlearning</x:v>
      </x:c>
      <x:c r="C50" s="96" t="n">
        <x:v>2026</x:v>
      </x:c>
      <x:c r="D50" s="96" t="str">
        <x:v>Preprint</x:v>
      </x:c>
      <x:c r="E50" s="96" t="str">
        <x:v>Defense</x:v>
      </x:c>
      <x:c r="F50" s="96" t="str">
        <x:v>Pending</x:v>
      </x:c>
      <x:c r="G50" s="96" t="str"/>
      <x:c r="H50" s="96" t="str"/>
      <x:c r="I50" s="96" t="str"/>
      <x:c r="J50" s="96" t="str"/>
      <x:c r="K50" s="96" t="str"/>
      <x:c r="L50" s="96" t="str"/>
      <x:c r="M50" s="96" t="str"/>
      <x:c r="N50" s="96" t="str"/>
      <x:c r="O50" s="96" t="str"/>
      <x:c r="P50" s="96" t="str"/>
      <x:c r="Q50" s="96" t="str"/>
      <x:c r="R50" s="96" t="str"/>
      <x:c r="S50" s="96" t="str"/>
      <x:c r="T50" s="96" t="str"/>
      <x:c r="U50" s="96" t="str"/>
      <x:c r="V50" s="96" t="str"/>
      <x:c r="W50" s="96" t="str"/>
      <x:c r="X50" s="96" t="str"/>
      <x:c r="Y50" s="96" t="str"/>
      <x:c r="Z50" s="96" t="str"/>
      <x:c r="AA50" s="96" t="str"/>
      <x:c r="AB50" s="96" t="str"/>
      <x:c r="AC50" s="96" t="str"/>
      <x:c r="AD50" s="96" t="str"/>
      <x:c r="AE50" s="96" t="str"/>
      <x:c r="AF50" s="96" t="str"/>
      <x:c r="AG50" s="96" t="str">
        <x:v>Not started</x:v>
      </x:c>
      <x:c r="AH50" s="96" t="str"/>
    </x:row>
    <x:row r="51">
      <x:c r="A51" s="96" t="n">
        <x:v>56</x:v>
      </x:c>
      <x:c r="B51" s="96" t="str">
        <x:v>When Machine Unlearning Meets RAG</x:v>
      </x:c>
      <x:c r="C51" s="96" t="n">
        <x:v>2024</x:v>
      </x:c>
      <x:c r="D51" s="96" t="str">
        <x:v>Preprint</x:v>
      </x:c>
      <x:c r="E51" s="96" t="str">
        <x:v>Defense</x:v>
      </x:c>
      <x:c r="F51" s="96" t="str">
        <x:v>Pending</x:v>
      </x:c>
      <x:c r="G51" s="96" t="str"/>
      <x:c r="H51" s="96" t="str"/>
      <x:c r="I51" s="96" t="str"/>
      <x:c r="J51" s="96" t="str"/>
      <x:c r="K51" s="96" t="str"/>
      <x:c r="L51" s="96" t="str"/>
      <x:c r="M51" s="96" t="str"/>
      <x:c r="N51" s="96" t="str"/>
      <x:c r="O51" s="96" t="str"/>
      <x:c r="P51" s="96" t="str"/>
      <x:c r="Q51" s="96" t="str"/>
      <x:c r="R51" s="96" t="str"/>
      <x:c r="S51" s="96" t="str"/>
      <x:c r="T51" s="96" t="str"/>
      <x:c r="U51" s="96" t="str"/>
      <x:c r="V51" s="96" t="str"/>
      <x:c r="W51" s="96" t="str"/>
      <x:c r="X51" s="96" t="str"/>
      <x:c r="Y51" s="96" t="str"/>
      <x:c r="Z51" s="96" t="str"/>
      <x:c r="AA51" s="96" t="str"/>
      <x:c r="AB51" s="96" t="str"/>
      <x:c r="AC51" s="96" t="str"/>
      <x:c r="AD51" s="96" t="str"/>
      <x:c r="AE51" s="96" t="str"/>
      <x:c r="AF51" s="96" t="str"/>
      <x:c r="AG51" s="96" t="str">
        <x:v>Not started</x:v>
      </x:c>
      <x:c r="AH51" s="96" t="str"/>
    </x:row>
    <x:row r="52">
      <x:c r="A52" s="96" t="n">
        <x:v>57</x:v>
      </x:c>
      <x:c r="B52" s="96" t="str">
        <x:v>LongMemEval — long-term interactive memory benchmark</x:v>
      </x:c>
      <x:c r="C52" s="96" t="n">
        <x:v>2025</x:v>
      </x:c>
      <x:c r="D52" s="96" t="str">
        <x:v>Peer-reviewed</x:v>
      </x:c>
      <x:c r="E52" s="96" t="str">
        <x:v>Benchmark</x:v>
      </x:c>
      <x:c r="F52" s="96" t="str">
        <x:v>Pending</x:v>
      </x:c>
      <x:c r="G52" s="96" t="str"/>
      <x:c r="H52" s="96" t="str"/>
      <x:c r="I52" s="96" t="str"/>
      <x:c r="J52" s="96" t="str"/>
      <x:c r="K52" s="96" t="str"/>
      <x:c r="L52" s="96" t="str"/>
      <x:c r="M52" s="96" t="str"/>
      <x:c r="N52" s="96" t="str"/>
      <x:c r="O52" s="96" t="str"/>
      <x:c r="P52" s="96" t="str"/>
      <x:c r="Q52" s="96" t="str"/>
      <x:c r="R52" s="96" t="str"/>
      <x:c r="S52" s="96" t="str"/>
      <x:c r="T52" s="96" t="str"/>
      <x:c r="U52" s="96" t="str"/>
      <x:c r="V52" s="96" t="str"/>
      <x:c r="W52" s="96" t="str"/>
      <x:c r="X52" s="96" t="str"/>
      <x:c r="Y52" s="96" t="str"/>
      <x:c r="Z52" s="96" t="str"/>
      <x:c r="AA52" s="96" t="str"/>
      <x:c r="AB52" s="96" t="str"/>
      <x:c r="AC52" s="96" t="str"/>
      <x:c r="AD52" s="96" t="str"/>
      <x:c r="AE52" s="96" t="str"/>
      <x:c r="AF52" s="96" t="str"/>
      <x:c r="AG52" s="96" t="str">
        <x:v>Not started</x:v>
      </x:c>
      <x:c r="AH52" s="96" t="str"/>
    </x:row>
    <x:row r="53">
      <x:c r="A53" s="96" t="n">
        <x:v>58</x:v>
      </x:c>
      <x:c r="B53" s="96" t="str">
        <x:v>MemBench — comprehensive memory evaluation</x:v>
      </x:c>
      <x:c r="C53" s="96" t="n">
        <x:v>2025</x:v>
      </x:c>
      <x:c r="D53" s="96" t="str">
        <x:v>Peer-reviewed</x:v>
      </x:c>
      <x:c r="E53" s="96" t="str">
        <x:v>Benchmark</x:v>
      </x:c>
      <x:c r="F53" s="96" t="str">
        <x:v>Pending</x:v>
      </x:c>
      <x:c r="G53" s="96" t="str"/>
      <x:c r="H53" s="96" t="str"/>
      <x:c r="I53" s="96" t="str"/>
      <x:c r="J53" s="96" t="str"/>
      <x:c r="K53" s="96" t="str"/>
      <x:c r="L53" s="96" t="str"/>
      <x:c r="M53" s="96" t="str"/>
      <x:c r="N53" s="96" t="str"/>
      <x:c r="O53" s="96" t="str"/>
      <x:c r="P53" s="96" t="str"/>
      <x:c r="Q53" s="96" t="str"/>
      <x:c r="R53" s="96" t="str"/>
      <x:c r="S53" s="96" t="str"/>
      <x:c r="T53" s="96" t="str"/>
      <x:c r="U53" s="96" t="str"/>
      <x:c r="V53" s="96" t="str"/>
      <x:c r="W53" s="96" t="str"/>
      <x:c r="X53" s="96" t="str"/>
      <x:c r="Y53" s="96" t="str"/>
      <x:c r="Z53" s="96" t="str"/>
      <x:c r="AA53" s="96" t="str"/>
      <x:c r="AB53" s="96" t="str"/>
      <x:c r="AC53" s="96" t="str"/>
      <x:c r="AD53" s="96" t="str"/>
      <x:c r="AE53" s="96" t="str"/>
      <x:c r="AF53" s="96" t="str"/>
      <x:c r="AG53" s="96" t="str">
        <x:v>Not started</x:v>
      </x:c>
      <x:c r="AH53" s="96" t="str"/>
    </x:row>
    <x:row r="54">
      <x:c r="A54" s="96" t="n">
        <x:v>59</x:v>
      </x:c>
      <x:c r="B54" s="96" t="str">
        <x:v>Mem2ActBench — LTM utilisation in tool tasks</x:v>
      </x:c>
      <x:c r="C54" s="96" t="n">
        <x:v>2026</x:v>
      </x:c>
      <x:c r="D54" s="96" t="str">
        <x:v>Peer-reviewed</x:v>
      </x:c>
      <x:c r="E54" s="96" t="str">
        <x:v>Benchmark</x:v>
      </x:c>
      <x:c r="F54" s="96" t="str">
        <x:v>Pending</x:v>
      </x:c>
      <x:c r="G54" s="96" t="str"/>
      <x:c r="H54" s="96" t="str"/>
      <x:c r="I54" s="96" t="str"/>
      <x:c r="J54" s="96" t="str"/>
      <x:c r="K54" s="96" t="str"/>
      <x:c r="L54" s="96" t="str"/>
      <x:c r="M54" s="96" t="str"/>
      <x:c r="N54" s="96" t="str"/>
      <x:c r="O54" s="96" t="str"/>
      <x:c r="P54" s="96" t="str"/>
      <x:c r="Q54" s="96" t="str"/>
      <x:c r="R54" s="96" t="str"/>
      <x:c r="S54" s="96" t="str"/>
      <x:c r="T54" s="96" t="str"/>
      <x:c r="U54" s="96" t="str"/>
      <x:c r="V54" s="96" t="str"/>
      <x:c r="W54" s="96" t="str"/>
      <x:c r="X54" s="96" t="str"/>
      <x:c r="Y54" s="96" t="str"/>
      <x:c r="Z54" s="96" t="str"/>
      <x:c r="AA54" s="96" t="str"/>
      <x:c r="AB54" s="96" t="str"/>
      <x:c r="AC54" s="96" t="str"/>
      <x:c r="AD54" s="96" t="str"/>
      <x:c r="AE54" s="96" t="str"/>
      <x:c r="AF54" s="96" t="str"/>
      <x:c r="AG54" s="96" t="str">
        <x:v>Not started</x:v>
      </x:c>
      <x:c r="AH54" s="96" t="str"/>
    </x:row>
    <x:row r="55">
      <x:c r="A55" s="96" t="n">
        <x:v>60</x:v>
      </x:c>
      <x:c r="B55" s="96" t="str">
        <x:v>GateMem — memory governance in multi-principal shared memory</x:v>
      </x:c>
      <x:c r="C55" s="96" t="n">
        <x:v>2026</x:v>
      </x:c>
      <x:c r="D55" s="96" t="str">
        <x:v>Preprint</x:v>
      </x:c>
      <x:c r="E55" s="96" t="str">
        <x:v>Benchmark</x:v>
      </x:c>
      <x:c r="F55" s="96" t="str">
        <x:v>Pending</x:v>
      </x:c>
      <x:c r="G55" s="96" t="str"/>
      <x:c r="H55" s="96" t="str"/>
      <x:c r="I55" s="96" t="str"/>
      <x:c r="J55" s="96" t="str"/>
      <x:c r="K55" s="96" t="str"/>
      <x:c r="L55" s="96" t="str"/>
      <x:c r="M55" s="96" t="str"/>
      <x:c r="N55" s="96" t="str"/>
      <x:c r="O55" s="96" t="str"/>
      <x:c r="P55" s="96" t="str"/>
      <x:c r="Q55" s="96" t="str"/>
      <x:c r="R55" s="96" t="str"/>
      <x:c r="S55" s="96" t="str"/>
      <x:c r="T55" s="96" t="str"/>
      <x:c r="U55" s="96" t="str"/>
      <x:c r="V55" s="96" t="str"/>
      <x:c r="W55" s="96" t="str"/>
      <x:c r="X55" s="96" t="str"/>
      <x:c r="Y55" s="96" t="str"/>
      <x:c r="Z55" s="96" t="str"/>
      <x:c r="AA55" s="96" t="str"/>
      <x:c r="AB55" s="96" t="str"/>
      <x:c r="AC55" s="96" t="str"/>
      <x:c r="AD55" s="96" t="str"/>
      <x:c r="AE55" s="96" t="str"/>
      <x:c r="AF55" s="96" t="str"/>
      <x:c r="AG55" s="96" t="str">
        <x:v>Not started</x:v>
      </x:c>
      <x:c r="AH55" s="96" t="str"/>
    </x:row>
    <x:row r="56">
      <x:c r="A56" s="96" t="n">
        <x:v>61</x:v>
      </x:c>
      <x:c r="B56" s="96" t="str">
        <x:v>CIMemories — contextual integrity of persistent memory</x:v>
      </x:c>
      <x:c r="C56" s="96" t="n">
        <x:v>2026</x:v>
      </x:c>
      <x:c r="D56" s="96" t="str">
        <x:v>Peer-reviewed</x:v>
      </x:c>
      <x:c r="E56" s="96" t="str">
        <x:v>Benchmark</x:v>
      </x:c>
      <x:c r="F56" s="96" t="str">
        <x:v>Pending</x:v>
      </x:c>
      <x:c r="G56" s="96" t="str"/>
      <x:c r="H56" s="96" t="str"/>
      <x:c r="I56" s="96" t="str"/>
      <x:c r="J56" s="96" t="str"/>
      <x:c r="K56" s="96" t="str"/>
      <x:c r="L56" s="96" t="str"/>
      <x:c r="M56" s="96" t="str"/>
      <x:c r="N56" s="96" t="str"/>
      <x:c r="O56" s="96" t="str"/>
      <x:c r="P56" s="96" t="str"/>
      <x:c r="Q56" s="96" t="str"/>
      <x:c r="R56" s="96" t="str"/>
      <x:c r="S56" s="96" t="str"/>
      <x:c r="T56" s="96" t="str"/>
      <x:c r="U56" s="96" t="str"/>
      <x:c r="V56" s="96" t="str"/>
      <x:c r="W56" s="96" t="str"/>
      <x:c r="X56" s="96" t="str"/>
      <x:c r="Y56" s="96" t="str"/>
      <x:c r="Z56" s="96" t="str"/>
      <x:c r="AA56" s="96" t="str"/>
      <x:c r="AB56" s="96" t="str"/>
      <x:c r="AC56" s="96" t="str"/>
      <x:c r="AD56" s="96" t="str"/>
      <x:c r="AE56" s="96" t="str"/>
      <x:c r="AF56" s="96" t="str"/>
      <x:c r="AG56" s="96" t="str">
        <x:v>Not started</x:v>
      </x:c>
      <x:c r="AH56" s="96" t="str"/>
    </x:row>
    <x:row r="57">
      <x:c r="A57" s="96" t="n">
        <x:v>62</x:v>
      </x:c>
      <x:c r="B57" s="96" t="str">
        <x:v>PersistBench — when should LTM be forgotten</x:v>
      </x:c>
      <x:c r="C57" s="96" t="n">
        <x:v>2026</x:v>
      </x:c>
      <x:c r="D57" s="96" t="str">
        <x:v>Preprint</x:v>
      </x:c>
      <x:c r="E57" s="96" t="str">
        <x:v>Benchmark</x:v>
      </x:c>
      <x:c r="F57" s="96" t="str">
        <x:v>Pending</x:v>
      </x:c>
      <x:c r="G57" s="96" t="str"/>
      <x:c r="H57" s="96" t="str"/>
      <x:c r="I57" s="96" t="str"/>
      <x:c r="J57" s="96" t="str"/>
      <x:c r="K57" s="96" t="str"/>
      <x:c r="L57" s="96" t="str"/>
      <x:c r="M57" s="96" t="str"/>
      <x:c r="N57" s="96" t="str"/>
      <x:c r="O57" s="96" t="str"/>
      <x:c r="P57" s="96" t="str"/>
      <x:c r="Q57" s="96" t="str"/>
      <x:c r="R57" s="96" t="str"/>
      <x:c r="S57" s="96" t="str"/>
      <x:c r="T57" s="96" t="str"/>
      <x:c r="U57" s="96" t="str"/>
      <x:c r="V57" s="96" t="str"/>
      <x:c r="W57" s="96" t="str"/>
      <x:c r="X57" s="96" t="str"/>
      <x:c r="Y57" s="96" t="str"/>
      <x:c r="Z57" s="96" t="str"/>
      <x:c r="AA57" s="96" t="str"/>
      <x:c r="AB57" s="96" t="str"/>
      <x:c r="AC57" s="96" t="str"/>
      <x:c r="AD57" s="96" t="str"/>
      <x:c r="AE57" s="96" t="str"/>
      <x:c r="AF57" s="96" t="str"/>
      <x:c r="AG57" s="96" t="str">
        <x:v>Not started</x:v>
      </x:c>
      <x:c r="AH57" s="96" t="str"/>
    </x:row>
    <x:row r="58">
      <x:c r="A58" s="96" t="n">
        <x:v>63</x:v>
      </x:c>
      <x:c r="B58" s="96" t="str">
        <x:v>AgentDojo — dynamic env for prompt-injection</x:v>
      </x:c>
      <x:c r="C58" s="96" t="n">
        <x:v>2024</x:v>
      </x:c>
      <x:c r="D58" s="96" t="str">
        <x:v>Peer-reviewed</x:v>
      </x:c>
      <x:c r="E58" s="96" t="str">
        <x:v>Benchmark</x:v>
      </x:c>
      <x:c r="F58" s="96" t="str">
        <x:v>Pending</x:v>
      </x:c>
      <x:c r="G58" s="96" t="str"/>
      <x:c r="H58" s="96" t="str"/>
      <x:c r="I58" s="96" t="str"/>
      <x:c r="J58" s="96" t="str"/>
      <x:c r="K58" s="96" t="str"/>
      <x:c r="L58" s="96" t="str"/>
      <x:c r="M58" s="96" t="str"/>
      <x:c r="N58" s="96" t="str"/>
      <x:c r="O58" s="96" t="str"/>
      <x:c r="P58" s="96" t="str"/>
      <x:c r="Q58" s="96" t="str"/>
      <x:c r="R58" s="96" t="str"/>
      <x:c r="S58" s="96" t="str"/>
      <x:c r="T58" s="96" t="str"/>
      <x:c r="U58" s="96" t="str"/>
      <x:c r="V58" s="96" t="str"/>
      <x:c r="W58" s="96" t="str"/>
      <x:c r="X58" s="96" t="str"/>
      <x:c r="Y58" s="96" t="str"/>
      <x:c r="Z58" s="96" t="str"/>
      <x:c r="AA58" s="96" t="str"/>
      <x:c r="AB58" s="96" t="str"/>
      <x:c r="AC58" s="96" t="str"/>
      <x:c r="AD58" s="96" t="str"/>
      <x:c r="AE58" s="96" t="str"/>
      <x:c r="AF58" s="96" t="str"/>
      <x:c r="AG58" s="96" t="str">
        <x:v>Not started</x:v>
      </x:c>
      <x:c r="AH58" s="96" t="str"/>
    </x:row>
    <x:row r="59">
      <x:c r="A59" s="96" t="n">
        <x:v>64</x:v>
      </x:c>
      <x:c r="B59" s="96" t="str">
        <x:v>InjecAgent — indirect PI in tool-integrated agents</x:v>
      </x:c>
      <x:c r="C59" s="96" t="n">
        <x:v>2024</x:v>
      </x:c>
      <x:c r="D59" s="96" t="str">
        <x:v>Peer-reviewed</x:v>
      </x:c>
      <x:c r="E59" s="96" t="str">
        <x:v>Benchmark</x:v>
      </x:c>
      <x:c r="F59" s="96" t="str">
        <x:v>Pending</x:v>
      </x:c>
      <x:c r="G59" s="96" t="str"/>
      <x:c r="H59" s="96" t="str"/>
      <x:c r="I59" s="96" t="str"/>
      <x:c r="J59" s="96" t="str"/>
      <x:c r="K59" s="96" t="str"/>
      <x:c r="L59" s="96" t="str"/>
      <x:c r="M59" s="96" t="str"/>
      <x:c r="N59" s="96" t="str"/>
      <x:c r="O59" s="96" t="str"/>
      <x:c r="P59" s="96" t="str"/>
      <x:c r="Q59" s="96" t="str"/>
      <x:c r="R59" s="96" t="str"/>
      <x:c r="S59" s="96" t="str"/>
      <x:c r="T59" s="96" t="str"/>
      <x:c r="U59" s="96" t="str"/>
      <x:c r="V59" s="96" t="str"/>
      <x:c r="W59" s="96" t="str"/>
      <x:c r="X59" s="96" t="str"/>
      <x:c r="Y59" s="96" t="str"/>
      <x:c r="Z59" s="96" t="str"/>
      <x:c r="AA59" s="96" t="str"/>
      <x:c r="AB59" s="96" t="str"/>
      <x:c r="AC59" s="96" t="str"/>
      <x:c r="AD59" s="96" t="str"/>
      <x:c r="AE59" s="96" t="str"/>
      <x:c r="AF59" s="96" t="str"/>
      <x:c r="AG59" s="96" t="str">
        <x:v>Not started</x:v>
      </x:c>
      <x:c r="AH59" s="96" t="str"/>
    </x:row>
    <x:row r="60">
      <x:c r="A60" s="96" t="n">
        <x:v>65</x:v>
      </x:c>
      <x:c r="B60" s="96" t="str">
        <x:v>Agent Security Bench (ASB)</x:v>
      </x:c>
      <x:c r="C60" s="96" t="n">
        <x:v>2025</x:v>
      </x:c>
      <x:c r="D60" s="96" t="str">
        <x:v>Peer-reviewed</x:v>
      </x:c>
      <x:c r="E60" s="96" t="str">
        <x:v>Benchmark</x:v>
      </x:c>
      <x:c r="F60" s="96" t="str">
        <x:v>Pending</x:v>
      </x:c>
      <x:c r="G60" s="96" t="str"/>
      <x:c r="H60" s="96" t="str"/>
      <x:c r="I60" s="96" t="str"/>
      <x:c r="J60" s="96" t="str"/>
      <x:c r="K60" s="96" t="str"/>
      <x:c r="L60" s="96" t="str"/>
      <x:c r="M60" s="96" t="str"/>
      <x:c r="N60" s="96" t="str"/>
      <x:c r="O60" s="96" t="str"/>
      <x:c r="P60" s="96" t="str"/>
      <x:c r="Q60" s="96" t="str"/>
      <x:c r="R60" s="96" t="str"/>
      <x:c r="S60" s="96" t="str"/>
      <x:c r="T60" s="96" t="str"/>
      <x:c r="U60" s="96" t="str"/>
      <x:c r="V60" s="96" t="str"/>
      <x:c r="W60" s="96" t="str"/>
      <x:c r="X60" s="96" t="str"/>
      <x:c r="Y60" s="96" t="str"/>
      <x:c r="Z60" s="96" t="str"/>
      <x:c r="AA60" s="96" t="str"/>
      <x:c r="AB60" s="96" t="str"/>
      <x:c r="AC60" s="96" t="str"/>
      <x:c r="AD60" s="96" t="str"/>
      <x:c r="AE60" s="96" t="str"/>
      <x:c r="AF60" s="96" t="str"/>
      <x:c r="AG60" s="96" t="str">
        <x:v>Not started</x:v>
      </x:c>
      <x:c r="AH60" s="96" t="str"/>
    </x:row>
    <x:row r="61">
      <x:c r="A61" s="96" t="n">
        <x:v>66</x:v>
      </x:c>
      <x:c r="B61" s="96" t="str">
        <x:v>MemSyco-Bench — sycophancy in agent memory</x:v>
      </x:c>
      <x:c r="C61" s="96" t="n">
        <x:v>2026</x:v>
      </x:c>
      <x:c r="D61" s="96" t="str">
        <x:v>Preprint</x:v>
      </x:c>
      <x:c r="E61" s="96" t="str">
        <x:v>Benchmark</x:v>
      </x:c>
      <x:c r="F61" s="96" t="str">
        <x:v>Pending</x:v>
      </x:c>
      <x:c r="G61" s="96" t="str"/>
      <x:c r="H61" s="96" t="str"/>
      <x:c r="I61" s="96" t="str"/>
      <x:c r="J61" s="96" t="str"/>
      <x:c r="K61" s="96" t="str"/>
      <x:c r="L61" s="96" t="str"/>
      <x:c r="M61" s="96" t="str"/>
      <x:c r="N61" s="96" t="str"/>
      <x:c r="O61" s="96" t="str"/>
      <x:c r="P61" s="96" t="str"/>
      <x:c r="Q61" s="96" t="str"/>
      <x:c r="R61" s="96" t="str"/>
      <x:c r="S61" s="96" t="str"/>
      <x:c r="T61" s="96" t="str"/>
      <x:c r="U61" s="96" t="str"/>
      <x:c r="V61" s="96" t="str"/>
      <x:c r="W61" s="96" t="str"/>
      <x:c r="X61" s="96" t="str"/>
      <x:c r="Y61" s="96" t="str"/>
      <x:c r="Z61" s="96" t="str"/>
      <x:c r="AA61" s="96" t="str"/>
      <x:c r="AB61" s="96" t="str"/>
      <x:c r="AC61" s="96" t="str"/>
      <x:c r="AD61" s="96" t="str"/>
      <x:c r="AE61" s="96" t="str"/>
      <x:c r="AF61" s="96" t="str"/>
      <x:c r="AG61" s="96" t="str">
        <x:v>Not started</x:v>
      </x:c>
      <x:c r="AH61" s="96" t="str"/>
    </x:row>
    <x:row r="62">
      <x:c r="A62" s="96" t="n">
        <x:v>67</x:v>
      </x:c>
      <x:c r="B62" s="96" t="str">
        <x:v>AgentLAB — benchmarking agents vs long-horizon attacks</x:v>
      </x:c>
      <x:c r="C62" s="96" t="n">
        <x:v>2026</x:v>
      </x:c>
      <x:c r="D62" s="96" t="str">
        <x:v>Preprint</x:v>
      </x:c>
      <x:c r="E62" s="96" t="str">
        <x:v>Benchmark</x:v>
      </x:c>
      <x:c r="F62" s="96" t="str">
        <x:v>Pending</x:v>
      </x:c>
      <x:c r="G62" s="96" t="str"/>
      <x:c r="H62" s="96" t="str"/>
      <x:c r="I62" s="96" t="str"/>
      <x:c r="J62" s="96" t="str"/>
      <x:c r="K62" s="96" t="str"/>
      <x:c r="L62" s="96" t="str"/>
      <x:c r="M62" s="96" t="str"/>
      <x:c r="N62" s="96" t="str"/>
      <x:c r="O62" s="96" t="str"/>
      <x:c r="P62" s="96" t="str"/>
      <x:c r="Q62" s="96" t="str"/>
      <x:c r="R62" s="96" t="str"/>
      <x:c r="S62" s="96" t="str"/>
      <x:c r="T62" s="96" t="str"/>
      <x:c r="U62" s="96" t="str"/>
      <x:c r="V62" s="96" t="str"/>
      <x:c r="W62" s="96" t="str"/>
      <x:c r="X62" s="96" t="str"/>
      <x:c r="Y62" s="96" t="str"/>
      <x:c r="Z62" s="96" t="str"/>
      <x:c r="AA62" s="96" t="str"/>
      <x:c r="AB62" s="96" t="str"/>
      <x:c r="AC62" s="96" t="str"/>
      <x:c r="AD62" s="96" t="str"/>
      <x:c r="AE62" s="96" t="str"/>
      <x:c r="AF62" s="96" t="str"/>
      <x:c r="AG62" s="96" t="str">
        <x:v>Not started</x:v>
      </x:c>
      <x:c r="AH62" s="96" t="str"/>
    </x:row>
  </x:sheetData>
  <x:mergeCells>
    <x:mergeCell ref="A1:AH1"/>
    <x:mergeCell ref="A2:AH2"/>
  </x:mergeCells>
  <x:dataValidations count="12">
    <x:dataValidation type="list" sqref="F5:F62">
      <x:formula1>"Pending,Include,Exclude"</x:formula1>
    </x:dataValidation>
    <x:dataValidation type="list" sqref="G5:G62">
      <x:formula1>"Conversational,Web agent,Tool-using,Multi-agent,Coding agent,Research agent,Enterprise assistant,Other"</x:formula1>
    </x:dataValidation>
    <x:dataValidation type="list" sqref="H5:H62">
      <x:formula1>"Semantic,Episodic,Procedural,Profile,Tool memory,Shared memory,Hybrid/Other"</x:formula1>
    </x:dataValidation>
    <x:dataValidation type="list" sqref="N5:N62">
      <x:formula1>"Acquire,Write,Store,Retrieve,Execute,Share,Forget/Recover,Cross-phase"</x:formula1>
    </x:dataValidation>
    <x:dataValidation type="list" sqref="X5:X62">
      <x:formula1>"Yes,No,Partial,Not evaluated"</x:formula1>
    </x:dataValidation>
    <x:dataValidation type="list" sqref="Y5:Y62">
      <x:formula1>"Yes,No,Partial,Not evaluated"</x:formula1>
    </x:dataValidation>
    <x:dataValidation type="list" sqref="Z5:Z62">
      <x:formula1>"Yes,No,Partial,Not evaluated"</x:formula1>
    </x:dataValidation>
    <x:dataValidation type="list" sqref="AA5:AA62">
      <x:formula1>"Yes,No,Partial,Not evaluated"</x:formula1>
    </x:dataValidation>
    <x:dataValidation type="list" sqref="AB5:AB62">
      <x:formula1>"Yes,No,Partial,Not evaluated"</x:formula1>
    </x:dataValidation>
    <x:dataValidation type="list" sqref="AC5:AC62">
      <x:formula1>"Yes,No,Partial,Not evaluated"</x:formula1>
    </x:dataValidation>
    <x:dataValidation type="list" sqref="AD5:AD62">
      <x:formula1>"Yes,No,Partial,Not evaluated"</x:formula1>
    </x:dataValidation>
    <x:dataValidation type="list" sqref="AG5:AG62">
      <x:formula1>"Not started,In progress,Complete,Needs verification"</x:formula1>
    </x:dataValidation>
  </x:dataValidations>
  <x:pageMargins left="0.7" right="0.7" top="0.75" bottom="0.75" header="0.3" footer="0.3"/>
  <x:tableParts count="1">
    <x:tablePart xmlns:r="http://schemas.openxmlformats.org/officeDocument/2006/relationships" r:id="R413dfc9f28c34ab6"/>
  </x:tableParts>
</x:worksheet>
</file>

<file path=xl/worksheets/sheet11.xml><?xml version="1.0" encoding="utf-8"?>
<x:worksheet xmlns:x="http://schemas.openxmlformats.org/spreadsheetml/2006/main">
  <x:sheetFormatPr defaultRowHeight="15"/>
  <x:cols>
    <x:col min="1" max="1" width="9" hidden="0" customWidth="1"/>
    <x:col min="2" max="2" width="32" hidden="0" customWidth="1"/>
    <x:col min="3" max="3" width="15" hidden="0" customWidth="1"/>
    <x:col min="4" max="4" width="16" hidden="0" customWidth="1"/>
    <x:col min="5" max="5" width="16" hidden="0" customWidth="1"/>
    <x:col min="6" max="6" width="12" hidden="0" customWidth="1"/>
    <x:col min="7" max="7" width="15" hidden="0" customWidth="1"/>
    <x:col min="8" max="8" width="18" hidden="0" customWidth="1"/>
    <x:col min="9" max="9" width="17" hidden="0" customWidth="1"/>
    <x:col min="10" max="10" width="17" hidden="0" customWidth="1"/>
    <x:col min="11" max="11" width="15" hidden="0" customWidth="1"/>
    <x:col min="12" max="12" width="12" hidden="0" customWidth="1"/>
    <x:col min="13" max="13" width="13" hidden="0" customWidth="1"/>
    <x:col min="14" max="14" width="28" hidden="0" customWidth="1"/>
    <x:col min="15" max="15" width="28" hidden="0" customWidth="1"/>
    <x:col min="16" max="16" width="18" hidden="0" customWidth="1"/>
  </x:cols>
  <x:sheetData>
    <x:row r="1">
      <x:c r="A1" s="83" t="str">
        <x:v>Quality Assessment of Included Primary Studies</x:v>
      </x:c>
      <x:c r="B1" s="83"/>
      <x:c r="C1" s="83"/>
      <x:c r="D1" s="83"/>
      <x:c r="E1" s="83"/>
      <x:c r="F1" s="83"/>
      <x:c r="G1" s="83"/>
      <x:c r="H1" s="83"/>
      <x:c r="I1" s="83"/>
      <x:c r="J1" s="83"/>
      <x:c r="K1" s="83"/>
      <x:c r="L1" s="83"/>
      <x:c r="M1" s="83"/>
      <x:c r="N1" s="83"/>
      <x:c r="O1" s="83"/>
      <x:c r="P1" s="83"/>
    </x:row>
    <x:row r="2">
      <x:c r="A2" s="104" t="str">
        <x:v>Score each criterion 0–2 after full-text review. Total possible score = 18. Suggested bands: High 14–18, Moderate 9–13, Low 0–8.</x:v>
      </x:c>
      <x:c r="B2" s="104"/>
      <x:c r="C2" s="104"/>
      <x:c r="D2" s="104"/>
      <x:c r="E2" s="104"/>
      <x:c r="F2" s="104"/>
      <x:c r="G2" s="104"/>
      <x:c r="H2" s="104"/>
      <x:c r="I2" s="104"/>
      <x:c r="J2" s="104"/>
      <x:c r="K2" s="104"/>
      <x:c r="L2" s="104"/>
      <x:c r="M2" s="104"/>
      <x:c r="N2" s="104"/>
      <x:c r="O2" s="104"/>
      <x:c r="P2" s="104"/>
    </x:row>
    <x:row r="4">
      <x:c r="A4" s="92" t="str">
        <x:v>Study ID</x:v>
      </x:c>
      <x:c r="B4" s="92" t="str">
        <x:v>Short citation</x:v>
      </x:c>
      <x:c r="C4" s="92" t="str">
        <x:v>Threat/system model</x:v>
      </x:c>
      <x:c r="D4" s="92" t="str">
        <x:v>Memory configuration</x:v>
      </x:c>
      <x:c r="E4" s="92" t="str">
        <x:v>Experimental validity</x:v>
      </x:c>
      <x:c r="F4" s="92" t="str">
        <x:v>Metrics</x:v>
      </x:c>
      <x:c r="G4" s="92" t="str">
        <x:v>Reproducibility</x:v>
      </x:c>
      <x:c r="H4" s="92" t="str">
        <x:v>Attack/environment realism</x:v>
      </x:c>
      <x:c r="I4" s="92" t="str">
        <x:v>Causal-claim validity</x:v>
      </x:c>
      <x:c r="J4" s="92" t="str">
        <x:v>Recovery completeness</x:v>
      </x:c>
      <x:c r="K4" s="92" t="str">
        <x:v>Limitations</x:v>
      </x:c>
      <x:c r="L4" s="92" t="str">
        <x:v>Total score</x:v>
      </x:c>
      <x:c r="M4" s="92" t="str">
        <x:v>Quality band</x:v>
      </x:c>
      <x:c r="N4" s="92" t="str">
        <x:v>Reviewer 1 notes</x:v>
      </x:c>
      <x:c r="O4" s="92" t="str">
        <x:v>Reviewer 2 notes</x:v>
      </x:c>
      <x:c r="P4" s="92" t="str">
        <x:v>Final QA status</x:v>
      </x:c>
    </x:row>
    <x:row r="5">
      <x:c r="A5" s="96" t="n">
        <x:v>10</x:v>
      </x:c>
      <x:c r="B5" s="96" t="str">
        <x:v>AgentPoison — poisoning memory/KB</x:v>
      </x:c>
      <x:c r="C5" s="96"/>
      <x:c r="D5" s="96"/>
      <x:c r="E5" s="96"/>
      <x:c r="F5" s="96"/>
      <x:c r="G5" s="96"/>
      <x:c r="H5" s="96"/>
      <x:c r="I5" s="96"/>
      <x:c r="J5" s="96"/>
      <x:c r="K5" s="96"/>
      <x:c r="L5" s="96" t="str">
        <x:f>IF(COUNTA(C5:K5)=0,"",SUM(C5:K5))</x:f>
      </x:c>
      <x:c r="M5" s="96" t="str">
        <x:f>IF(L5="","",IF(L5&gt;=14,"High",IF(L5&gt;=9,"Moderate","Low")))</x:f>
      </x:c>
      <x:c r="N5" s="96" t="str"/>
      <x:c r="O5" s="96" t="str"/>
      <x:c r="P5" s="96" t="str">
        <x:v>Pending</x:v>
      </x:c>
    </x:row>
    <x:row r="6">
      <x:c r="A6" s="96" t="n">
        <x:v>11</x:v>
      </x:c>
      <x:c r="B6" s="96" t="str">
        <x:v>MINJA — memory injection, query-only</x:v>
      </x:c>
      <x:c r="C6" s="96"/>
      <x:c r="D6" s="96"/>
      <x:c r="E6" s="96"/>
      <x:c r="F6" s="96"/>
      <x:c r="G6" s="96"/>
      <x:c r="H6" s="96"/>
      <x:c r="I6" s="96"/>
      <x:c r="J6" s="96"/>
      <x:c r="K6" s="96"/>
      <x:c r="L6" s="96" t="str">
        <x:f>IF(COUNTA(C6:K6)=0,"",SUM(C6:K6))</x:f>
      </x:c>
      <x:c r="M6" s="96" t="str">
        <x:f>IF(L6="","",IF(L6&gt;=14,"High",IF(L6&gt;=9,"Moderate","Low")))</x:f>
      </x:c>
      <x:c r="N6" s="96" t="str"/>
      <x:c r="O6" s="96" t="str"/>
      <x:c r="P6" s="96" t="str">
        <x:v>Pending</x:v>
      </x:c>
    </x:row>
    <x:row r="7">
      <x:c r="A7" s="96" t="n">
        <x:v>12</x:v>
      </x:c>
      <x:c r="B7" s="96" t="str">
        <x:v>MEXTRA — Unveiling Privacy Risks in Agent Memory</x:v>
      </x:c>
      <x:c r="C7" s="96"/>
      <x:c r="D7" s="96"/>
      <x:c r="E7" s="96"/>
      <x:c r="F7" s="96"/>
      <x:c r="G7" s="96"/>
      <x:c r="H7" s="96"/>
      <x:c r="I7" s="96"/>
      <x:c r="J7" s="96"/>
      <x:c r="K7" s="96"/>
      <x:c r="L7" s="96" t="str">
        <x:f>IF(COUNTA(C7:K7)=0,"",SUM(C7:K7))</x:f>
      </x:c>
      <x:c r="M7" s="96" t="str">
        <x:f>IF(L7="","",IF(L7&gt;=14,"High",IF(L7&gt;=9,"Moderate","Low")))</x:f>
      </x:c>
      <x:c r="N7" s="96" t="str"/>
      <x:c r="O7" s="96" t="str"/>
      <x:c r="P7" s="96" t="str">
        <x:v>Pending</x:v>
      </x:c>
    </x:row>
    <x:row r="8">
      <x:c r="A8" s="96" t="n">
        <x:v>13</x:v>
      </x:c>
      <x:c r="B8" s="96" t="str">
        <x:v>eTAMP / Poison Once Exploit Forever — env-injected web-agent</x:v>
      </x:c>
      <x:c r="C8" s="96"/>
      <x:c r="D8" s="96"/>
      <x:c r="E8" s="96"/>
      <x:c r="F8" s="96"/>
      <x:c r="G8" s="96"/>
      <x:c r="H8" s="96"/>
      <x:c r="I8" s="96"/>
      <x:c r="J8" s="96"/>
      <x:c r="K8" s="96"/>
      <x:c r="L8" s="96" t="str">
        <x:f>IF(COUNTA(C8:K8)=0,"",SUM(C8:K8))</x:f>
      </x:c>
      <x:c r="M8" s="96" t="str">
        <x:f>IF(L8="","",IF(L8&gt;=14,"High",IF(L8&gt;=9,"Moderate","Low")))</x:f>
      </x:c>
      <x:c r="N8" s="96" t="str"/>
      <x:c r="O8" s="96" t="str"/>
      <x:c r="P8" s="96" t="str">
        <x:v>Pending</x:v>
      </x:c>
    </x:row>
    <x:row r="9">
      <x:c r="A9" s="96" t="n">
        <x:v>14</x:v>
      </x:c>
      <x:c r="B9" s="96" t="str">
        <x:v>InjecMEM — memory injection on memory systems</x:v>
      </x:c>
      <x:c r="C9" s="96"/>
      <x:c r="D9" s="96"/>
      <x:c r="E9" s="96"/>
      <x:c r="F9" s="96"/>
      <x:c r="G9" s="96"/>
      <x:c r="H9" s="96"/>
      <x:c r="I9" s="96"/>
      <x:c r="J9" s="96"/>
      <x:c r="K9" s="96"/>
      <x:c r="L9" s="96" t="str">
        <x:f>IF(COUNTA(C9:K9)=0,"",SUM(C9:K9))</x:f>
      </x:c>
      <x:c r="M9" s="96" t="str">
        <x:f>IF(L9="","",IF(L9&gt;=14,"High",IF(L9&gt;=9,"Moderate","Low")))</x:f>
      </x:c>
      <x:c r="N9" s="96" t="str"/>
      <x:c r="O9" s="96" t="str"/>
      <x:c r="P9" s="96" t="str">
        <x:v>Pending</x:v>
      </x:c>
    </x:row>
    <x:row r="10">
      <x:c r="A10" s="96" t="n">
        <x:v>15</x:v>
      </x:c>
      <x:c r="B10" s="96" t="str">
        <x:v>MemoryGraft — poisoned experience retrieval</x:v>
      </x:c>
      <x:c r="C10" s="96"/>
      <x:c r="D10" s="96"/>
      <x:c r="E10" s="96"/>
      <x:c r="F10" s="96"/>
      <x:c r="G10" s="96"/>
      <x:c r="H10" s="96"/>
      <x:c r="I10" s="96"/>
      <x:c r="J10" s="96"/>
      <x:c r="K10" s="96"/>
      <x:c r="L10" s="96" t="str">
        <x:f>IF(COUNTA(C10:K10)=0,"",SUM(C10:K10))</x:f>
      </x:c>
      <x:c r="M10" s="96" t="str">
        <x:f>IF(L10="","",IF(L10&gt;=14,"High",IF(L10&gt;=9,"Moderate","Low")))</x:f>
      </x:c>
      <x:c r="N10" s="96" t="str"/>
      <x:c r="O10" s="96" t="str"/>
      <x:c r="P10" s="96" t="str">
        <x:v>Pending</x:v>
      </x:c>
    </x:row>
    <x:row r="11">
      <x:c r="A11" s="96" t="n">
        <x:v>16</x:v>
      </x:c>
      <x:c r="B11" s="96" t="str">
        <x:v>MCFA / From Storage to Steering — memory control-flow</x:v>
      </x:c>
      <x:c r="C11" s="96"/>
      <x:c r="D11" s="96"/>
      <x:c r="E11" s="96"/>
      <x:c r="F11" s="96"/>
      <x:c r="G11" s="96"/>
      <x:c r="H11" s="96"/>
      <x:c r="I11" s="96"/>
      <x:c r="J11" s="96"/>
      <x:c r="K11" s="96"/>
      <x:c r="L11" s="96" t="str">
        <x:f>IF(COUNTA(C11:K11)=0,"",SUM(C11:K11))</x:f>
      </x:c>
      <x:c r="M11" s="96" t="str">
        <x:f>IF(L11="","",IF(L11&gt;=14,"High",IF(L11&gt;=9,"Moderate","Low")))</x:f>
      </x:c>
      <x:c r="N11" s="96" t="str"/>
      <x:c r="O11" s="96" t="str"/>
      <x:c r="P11" s="96" t="str">
        <x:v>Pending</x:v>
      </x:c>
    </x:row>
    <x:row r="12">
      <x:c r="A12" s="96" t="n">
        <x:v>17</x:v>
      </x:c>
      <x:c r="B12" s="96" t="str">
        <x:v>Trojan Hippo — weaponizing memory for exfiltration</x:v>
      </x:c>
      <x:c r="C12" s="96"/>
      <x:c r="D12" s="96"/>
      <x:c r="E12" s="96"/>
      <x:c r="F12" s="96"/>
      <x:c r="G12" s="96"/>
      <x:c r="H12" s="96"/>
      <x:c r="I12" s="96"/>
      <x:c r="J12" s="96"/>
      <x:c r="K12" s="96"/>
      <x:c r="L12" s="96" t="str">
        <x:f>IF(COUNTA(C12:K12)=0,"",SUM(C12:K12))</x:f>
      </x:c>
      <x:c r="M12" s="96" t="str">
        <x:f>IF(L12="","",IF(L12&gt;=14,"High",IF(L12&gt;=9,"Moderate","Low")))</x:f>
      </x:c>
      <x:c r="N12" s="96" t="str"/>
      <x:c r="O12" s="96" t="str"/>
      <x:c r="P12" s="96" t="str">
        <x:v>Pending</x:v>
      </x:c>
    </x:row>
    <x:row r="13">
      <x:c r="A13" s="96" t="n">
        <x:v>18</x:v>
      </x:c>
      <x:c r="B13" s="96" t="str">
        <x:v>Hidden in Memory — sleeper memory poisoning</x:v>
      </x:c>
      <x:c r="C13" s="96"/>
      <x:c r="D13" s="96"/>
      <x:c r="E13" s="96"/>
      <x:c r="F13" s="96"/>
      <x:c r="G13" s="96"/>
      <x:c r="H13" s="96"/>
      <x:c r="I13" s="96"/>
      <x:c r="J13" s="96"/>
      <x:c r="K13" s="96"/>
      <x:c r="L13" s="96" t="str">
        <x:f>IF(COUNTA(C13:K13)=0,"",SUM(C13:K13))</x:f>
      </x:c>
      <x:c r="M13" s="96" t="str">
        <x:f>IF(L13="","",IF(L13&gt;=14,"High",IF(L13&gt;=9,"Moderate","Low")))</x:f>
      </x:c>
      <x:c r="N13" s="96" t="str"/>
      <x:c r="O13" s="96" t="str"/>
      <x:c r="P13" s="96" t="str">
        <x:v>Pending</x:v>
      </x:c>
    </x:row>
    <x:row r="14">
      <x:c r="A14" s="96" t="n">
        <x:v>19</x:v>
      </x:c>
      <x:c r="B14" s="96" t="str">
        <x:v>From Untrusted Input to Trusted Memory + MPBench</x:v>
      </x:c>
      <x:c r="C14" s="96"/>
      <x:c r="D14" s="96"/>
      <x:c r="E14" s="96"/>
      <x:c r="F14" s="96"/>
      <x:c r="G14" s="96"/>
      <x:c r="H14" s="96"/>
      <x:c r="I14" s="96"/>
      <x:c r="J14" s="96"/>
      <x:c r="K14" s="96"/>
      <x:c r="L14" s="96" t="str">
        <x:f>IF(COUNTA(C14:K14)=0,"",SUM(C14:K14))</x:f>
      </x:c>
      <x:c r="M14" s="96" t="str">
        <x:f>IF(L14="","",IF(L14&gt;=14,"High",IF(L14&gt;=9,"Moderate","Low")))</x:f>
      </x:c>
      <x:c r="N14" s="96" t="str"/>
      <x:c r="O14" s="96" t="str"/>
      <x:c r="P14" s="96" t="str">
        <x:v>Pending</x:v>
      </x:c>
    </x:row>
    <x:row r="15">
      <x:c r="A15" s="96" t="n">
        <x:v>20</x:v>
      </x:c>
      <x:c r="B15" s="96" t="str">
        <x:v>MemMorph — tool-use hijacking via memory</x:v>
      </x:c>
      <x:c r="C15" s="96"/>
      <x:c r="D15" s="96"/>
      <x:c r="E15" s="96"/>
      <x:c r="F15" s="96"/>
      <x:c r="G15" s="96"/>
      <x:c r="H15" s="96"/>
      <x:c r="I15" s="96"/>
      <x:c r="J15" s="96"/>
      <x:c r="K15" s="96"/>
      <x:c r="L15" s="96" t="str">
        <x:f>IF(COUNTA(C15:K15)=0,"",SUM(C15:K15))</x:f>
      </x:c>
      <x:c r="M15" s="96" t="str">
        <x:f>IF(L15="","",IF(L15&gt;=14,"High",IF(L15&gt;=9,"Moderate","Low")))</x:f>
      </x:c>
      <x:c r="N15" s="96" t="str"/>
      <x:c r="O15" s="96" t="str"/>
      <x:c r="P15" s="96" t="str">
        <x:v>Pending</x:v>
      </x:c>
    </x:row>
    <x:row r="16">
      <x:c r="A16" s="96" t="n">
        <x:v>21</x:v>
      </x:c>
      <x:c r="B16" s="96" t="str">
        <x:v>Zombie Agents — persistent control via self-reinforcing injection</x:v>
      </x:c>
      <x:c r="C16" s="96"/>
      <x:c r="D16" s="96"/>
      <x:c r="E16" s="96"/>
      <x:c r="F16" s="96"/>
      <x:c r="G16" s="96"/>
      <x:c r="H16" s="96"/>
      <x:c r="I16" s="96"/>
      <x:c r="J16" s="96"/>
      <x:c r="K16" s="96"/>
      <x:c r="L16" s="96" t="str">
        <x:f>IF(COUNTA(C16:K16)=0,"",SUM(C16:K16))</x:f>
      </x:c>
      <x:c r="M16" s="96" t="str">
        <x:f>IF(L16="","",IF(L16&gt;=14,"High",IF(L16&gt;=9,"Moderate","Low")))</x:f>
      </x:c>
      <x:c r="N16" s="96" t="str"/>
      <x:c r="O16" s="96" t="str"/>
      <x:c r="P16" s="96" t="str">
        <x:v>Pending</x:v>
      </x:c>
    </x:row>
    <x:row r="17">
      <x:c r="A17" s="96" t="n">
        <x:v>22</x:v>
      </x:c>
      <x:c r="B17" s="96" t="str">
        <x:v>No Attacker Needed — unintentional cross-user contamination</x:v>
      </x:c>
      <x:c r="C17" s="96"/>
      <x:c r="D17" s="96"/>
      <x:c r="E17" s="96"/>
      <x:c r="F17" s="96"/>
      <x:c r="G17" s="96"/>
      <x:c r="H17" s="96"/>
      <x:c r="I17" s="96"/>
      <x:c r="J17" s="96"/>
      <x:c r="K17" s="96"/>
      <x:c r="L17" s="96" t="str">
        <x:f>IF(COUNTA(C17:K17)=0,"",SUM(C17:K17))</x:f>
      </x:c>
      <x:c r="M17" s="96" t="str">
        <x:f>IF(L17="","",IF(L17&gt;=14,"High",IF(L17&gt;=9,"Moderate","Low")))</x:f>
      </x:c>
      <x:c r="N17" s="96" t="str"/>
      <x:c r="O17" s="96" t="str"/>
      <x:c r="P17" s="96" t="str">
        <x:v>Pending</x:v>
      </x:c>
    </x:row>
    <x:row r="18">
      <x:c r="A18" s="96" t="n">
        <x:v>23</x:v>
      </x:c>
      <x:c r="B18" s="96" t="str">
        <x:v>Skill-Inject — malicious procedures into skill memory</x:v>
      </x:c>
      <x:c r="C18" s="96"/>
      <x:c r="D18" s="96"/>
      <x:c r="E18" s="96"/>
      <x:c r="F18" s="96"/>
      <x:c r="G18" s="96"/>
      <x:c r="H18" s="96"/>
      <x:c r="I18" s="96"/>
      <x:c r="J18" s="96"/>
      <x:c r="K18" s="96"/>
      <x:c r="L18" s="96" t="str">
        <x:f>IF(COUNTA(C18:K18)=0,"",SUM(C18:K18))</x:f>
      </x:c>
      <x:c r="M18" s="96" t="str">
        <x:f>IF(L18="","",IF(L18&gt;=14,"High",IF(L18&gt;=9,"Moderate","Low")))</x:f>
      </x:c>
      <x:c r="N18" s="96" t="str"/>
      <x:c r="O18" s="96" t="str"/>
      <x:c r="P18" s="96" t="str">
        <x:v>Pending</x:v>
      </x:c>
    </x:row>
    <x:row r="19">
      <x:c r="A19" s="96" t="n">
        <x:v>24</x:v>
      </x:c>
      <x:c r="B19" s="96" t="str">
        <x:v>Visual Inception — multimodal memory poisoning</x:v>
      </x:c>
      <x:c r="C19" s="96"/>
      <x:c r="D19" s="96"/>
      <x:c r="E19" s="96"/>
      <x:c r="F19" s="96"/>
      <x:c r="G19" s="96"/>
      <x:c r="H19" s="96"/>
      <x:c r="I19" s="96"/>
      <x:c r="J19" s="96"/>
      <x:c r="K19" s="96"/>
      <x:c r="L19" s="96" t="str">
        <x:f>IF(COUNTA(C19:K19)=0,"",SUM(C19:K19))</x:f>
      </x:c>
      <x:c r="M19" s="96" t="str">
        <x:f>IF(L19="","",IF(L19&gt;=14,"High",IF(L19&gt;=9,"Moderate","Low")))</x:f>
      </x:c>
      <x:c r="N19" s="96" t="str"/>
      <x:c r="O19" s="96" t="str"/>
      <x:c r="P19" s="96" t="str">
        <x:v>Pending</x:v>
      </x:c>
    </x:row>
    <x:row r="20">
      <x:c r="A20" s="96" t="n">
        <x:v>25</x:v>
      </x:c>
      <x:c r="B20" s="96" t="str">
        <x:v>PoisonedRAG — knowledge corruption of RAG</x:v>
      </x:c>
      <x:c r="C20" s="96"/>
      <x:c r="D20" s="96"/>
      <x:c r="E20" s="96"/>
      <x:c r="F20" s="96"/>
      <x:c r="G20" s="96"/>
      <x:c r="H20" s="96"/>
      <x:c r="I20" s="96"/>
      <x:c r="J20" s="96"/>
      <x:c r="K20" s="96"/>
      <x:c r="L20" s="96" t="str">
        <x:f>IF(COUNTA(C20:K20)=0,"",SUM(C20:K20))</x:f>
      </x:c>
      <x:c r="M20" s="96" t="str">
        <x:f>IF(L20="","",IF(L20&gt;=14,"High",IF(L20&gt;=9,"Moderate","Low")))</x:f>
      </x:c>
      <x:c r="N20" s="96" t="str"/>
      <x:c r="O20" s="96" t="str"/>
      <x:c r="P20" s="96" t="str">
        <x:v>Pending</x:v>
      </x:c>
    </x:row>
    <x:row r="21">
      <x:c r="A21" s="96" t="n">
        <x:v>26</x:v>
      </x:c>
      <x:c r="B21" s="96" t="str">
        <x:v>Agent Smith — one image jailbreaks a million agents</x:v>
      </x:c>
      <x:c r="C21" s="96"/>
      <x:c r="D21" s="96"/>
      <x:c r="E21" s="96"/>
      <x:c r="F21" s="96"/>
      <x:c r="G21" s="96"/>
      <x:c r="H21" s="96"/>
      <x:c r="I21" s="96"/>
      <x:c r="J21" s="96"/>
      <x:c r="K21" s="96"/>
      <x:c r="L21" s="96" t="str">
        <x:f>IF(COUNTA(C21:K21)=0,"",SUM(C21:K21))</x:f>
      </x:c>
      <x:c r="M21" s="96" t="str">
        <x:f>IF(L21="","",IF(L21&gt;=14,"High",IF(L21&gt;=9,"Moderate","Low")))</x:f>
      </x:c>
      <x:c r="N21" s="96" t="str"/>
      <x:c r="O21" s="96" t="str"/>
      <x:c r="P21" s="96" t="str">
        <x:v>Pending</x:v>
      </x:c>
    </x:row>
    <x:row r="22">
      <x:c r="A22" s="96" t="n">
        <x:v>27</x:v>
      </x:c>
      <x:c r="B22" s="96" t="str">
        <x:v>ComPromptMized — zero-click self-replicating GenAI worm</x:v>
      </x:c>
      <x:c r="C22" s="96"/>
      <x:c r="D22" s="96"/>
      <x:c r="E22" s="96"/>
      <x:c r="F22" s="96"/>
      <x:c r="G22" s="96"/>
      <x:c r="H22" s="96"/>
      <x:c r="I22" s="96"/>
      <x:c r="J22" s="96"/>
      <x:c r="K22" s="96"/>
      <x:c r="L22" s="96" t="str">
        <x:f>IF(COUNTA(C22:K22)=0,"",SUM(C22:K22))</x:f>
      </x:c>
      <x:c r="M22" s="96" t="str">
        <x:f>IF(L22="","",IF(L22&gt;=14,"High",IF(L22&gt;=9,"Moderate","Low")))</x:f>
      </x:c>
      <x:c r="N22" s="96" t="str"/>
      <x:c r="O22" s="96" t="str"/>
      <x:c r="P22" s="96" t="str">
        <x:v>Pending</x:v>
      </x:c>
    </x:row>
    <x:row r="23">
      <x:c r="A23" s="96" t="n">
        <x:v>28</x:v>
      </x:c>
      <x:c r="B23" s="96" t="str">
        <x:v>Ghost of the Past — privacy leakage of LLM memory</x:v>
      </x:c>
      <x:c r="C23" s="96"/>
      <x:c r="D23" s="96"/>
      <x:c r="E23" s="96"/>
      <x:c r="F23" s="96"/>
      <x:c r="G23" s="96"/>
      <x:c r="H23" s="96"/>
      <x:c r="I23" s="96"/>
      <x:c r="J23" s="96"/>
      <x:c r="K23" s="96"/>
      <x:c r="L23" s="96" t="str">
        <x:f>IF(COUNTA(C23:K23)=0,"",SUM(C23:K23))</x:f>
      </x:c>
      <x:c r="M23" s="96" t="str">
        <x:f>IF(L23="","",IF(L23&gt;=14,"High",IF(L23&gt;=9,"Moderate","Low")))</x:f>
      </x:c>
      <x:c r="N23" s="96" t="str"/>
      <x:c r="O23" s="96" t="str"/>
      <x:c r="P23" s="96" t="str">
        <x:v>Pending</x:v>
      </x:c>
    </x:row>
    <x:row r="24">
      <x:c r="A24" s="96" t="n">
        <x:v>29</x:v>
      </x:c>
      <x:c r="B24" s="96" t="str">
        <x:v>Cross-session Stored Prompt Injection in Agentic Systems</x:v>
      </x:c>
      <x:c r="C24" s="96"/>
      <x:c r="D24" s="96"/>
      <x:c r="E24" s="96"/>
      <x:c r="F24" s="96"/>
      <x:c r="G24" s="96"/>
      <x:c r="H24" s="96"/>
      <x:c r="I24" s="96"/>
      <x:c r="J24" s="96"/>
      <x:c r="K24" s="96"/>
      <x:c r="L24" s="96" t="str">
        <x:f>IF(COUNTA(C24:K24)=0,"",SUM(C24:K24))</x:f>
      </x:c>
      <x:c r="M24" s="96" t="str">
        <x:f>IF(L24="","",IF(L24&gt;=14,"High",IF(L24&gt;=9,"Moderate","Low")))</x:f>
      </x:c>
      <x:c r="N24" s="96" t="str"/>
      <x:c r="O24" s="96" t="str"/>
      <x:c r="P24" s="96" t="str">
        <x:v>Pending</x:v>
      </x:c>
    </x:row>
    <x:row r="25">
      <x:c r="A25" s="96" t="n">
        <x:v>30</x:v>
      </x:c>
      <x:c r="B25" s="96" t="str">
        <x:v>ER-MIA — black-box adversarial memory injection</x:v>
      </x:c>
      <x:c r="C25" s="96"/>
      <x:c r="D25" s="96"/>
      <x:c r="E25" s="96"/>
      <x:c r="F25" s="96"/>
      <x:c r="G25" s="96"/>
      <x:c r="H25" s="96"/>
      <x:c r="I25" s="96"/>
      <x:c r="J25" s="96"/>
      <x:c r="K25" s="96"/>
      <x:c r="L25" s="96" t="str">
        <x:f>IF(COUNTA(C25:K25)=0,"",SUM(C25:K25))</x:f>
      </x:c>
      <x:c r="M25" s="96" t="str">
        <x:f>IF(L25="","",IF(L25&gt;=14,"High",IF(L25&gt;=9,"Moderate","Low")))</x:f>
      </x:c>
      <x:c r="N25" s="96" t="str"/>
      <x:c r="O25" s="96" t="str"/>
      <x:c r="P25" s="96" t="str">
        <x:v>Pending</x:v>
      </x:c>
    </x:row>
    <x:row r="26">
      <x:c r="A26" s="96" t="n">
        <x:v>31</x:v>
      </x:c>
      <x:c r="B26" s="96" t="str">
        <x:v>MemPoison / Hijacking Agent Memory — stealthy trojan via dialogue</x:v>
      </x:c>
      <x:c r="C26" s="96"/>
      <x:c r="D26" s="96"/>
      <x:c r="E26" s="96"/>
      <x:c r="F26" s="96"/>
      <x:c r="G26" s="96"/>
      <x:c r="H26" s="96"/>
      <x:c r="I26" s="96"/>
      <x:c r="J26" s="96"/>
      <x:c r="K26" s="96"/>
      <x:c r="L26" s="96" t="str">
        <x:f>IF(COUNTA(C26:K26)=0,"",SUM(C26:K26))</x:f>
      </x:c>
      <x:c r="M26" s="96" t="str">
        <x:f>IF(L26="","",IF(L26&gt;=14,"High",IF(L26&gt;=9,"Moderate","Low")))</x:f>
      </x:c>
      <x:c r="N26" s="96" t="str"/>
      <x:c r="O26" s="96" t="str"/>
      <x:c r="P26" s="96" t="str">
        <x:v>Pending</x:v>
      </x:c>
    </x:row>
    <x:row r="27">
      <x:c r="A27" s="96" t="n">
        <x:v>32</x:v>
      </x:c>
      <x:c r="B27" s="96" t="str">
        <x:v>ShadowMerge — poisoning graph-based memory via relation-channel conflicts</x:v>
      </x:c>
      <x:c r="C27" s="96"/>
      <x:c r="D27" s="96"/>
      <x:c r="E27" s="96"/>
      <x:c r="F27" s="96"/>
      <x:c r="G27" s="96"/>
      <x:c r="H27" s="96"/>
      <x:c r="I27" s="96"/>
      <x:c r="J27" s="96"/>
      <x:c r="K27" s="96"/>
      <x:c r="L27" s="96" t="str">
        <x:f>IF(COUNTA(C27:K27)=0,"",SUM(C27:K27))</x:f>
      </x:c>
      <x:c r="M27" s="96" t="str">
        <x:f>IF(L27="","",IF(L27&gt;=14,"High",IF(L27&gt;=9,"Moderate","Low")))</x:f>
      </x:c>
      <x:c r="N27" s="96" t="str"/>
      <x:c r="O27" s="96" t="str"/>
      <x:c r="P27" s="96" t="str">
        <x:v>Pending</x:v>
      </x:c>
    </x:row>
    <x:row r="28">
      <x:c r="A28" s="96" t="n">
        <x:v>33</x:v>
      </x:c>
      <x:c r="B28" s="96" t="str">
        <x:v>MRMMIA — membership inference on chat-agent memory</x:v>
      </x:c>
      <x:c r="C28" s="96"/>
      <x:c r="D28" s="96"/>
      <x:c r="E28" s="96"/>
      <x:c r="F28" s="96"/>
      <x:c r="G28" s="96"/>
      <x:c r="H28" s="96"/>
      <x:c r="I28" s="96"/>
      <x:c r="J28" s="96"/>
      <x:c r="K28" s="96"/>
      <x:c r="L28" s="96" t="str">
        <x:f>IF(COUNTA(C28:K28)=0,"",SUM(C28:K28))</x:f>
      </x:c>
      <x:c r="M28" s="96" t="str">
        <x:f>IF(L28="","",IF(L28&gt;=14,"High",IF(L28&gt;=9,"Moderate","Low")))</x:f>
      </x:c>
      <x:c r="N28" s="96" t="str"/>
      <x:c r="O28" s="96" t="str"/>
      <x:c r="P28" s="96" t="str">
        <x:v>Pending</x:v>
      </x:c>
    </x:row>
    <x:row r="29">
      <x:c r="A29" s="96" t="n">
        <x:v>34</x:v>
      </x:c>
      <x:c r="B29" s="96" t="str">
        <x:v>VerificAgent — human-verified memory freezing</x:v>
      </x:c>
      <x:c r="C29" s="96"/>
      <x:c r="D29" s="96"/>
      <x:c r="E29" s="96"/>
      <x:c r="F29" s="96"/>
      <x:c r="G29" s="96"/>
      <x:c r="H29" s="96"/>
      <x:c r="I29" s="96"/>
      <x:c r="J29" s="96"/>
      <x:c r="K29" s="96"/>
      <x:c r="L29" s="96" t="str">
        <x:f>IF(COUNTA(C29:K29)=0,"",SUM(C29:K29))</x:f>
      </x:c>
      <x:c r="M29" s="96" t="str">
        <x:f>IF(L29="","",IF(L29&gt;=14,"High",IF(L29&gt;=9,"Moderate","Low")))</x:f>
      </x:c>
      <x:c r="N29" s="96" t="str"/>
      <x:c r="O29" s="96" t="str"/>
      <x:c r="P29" s="96" t="str">
        <x:v>Pending</x:v>
      </x:c>
    </x:row>
    <x:row r="30">
      <x:c r="A30" s="96" t="n">
        <x:v>35</x:v>
      </x:c>
      <x:c r="B30" s="96" t="str">
        <x:v>PROV-AGENT — unified provenance for agent interactions</x:v>
      </x:c>
      <x:c r="C30" s="96"/>
      <x:c r="D30" s="96"/>
      <x:c r="E30" s="96"/>
      <x:c r="F30" s="96"/>
      <x:c r="G30" s="96"/>
      <x:c r="H30" s="96"/>
      <x:c r="I30" s="96"/>
      <x:c r="J30" s="96"/>
      <x:c r="K30" s="96"/>
      <x:c r="L30" s="96" t="str">
        <x:f>IF(COUNTA(C30:K30)=0,"",SUM(C30:K30))</x:f>
      </x:c>
      <x:c r="M30" s="96" t="str">
        <x:f>IF(L30="","",IF(L30&gt;=14,"High",IF(L30&gt;=9,"Moderate","Low")))</x:f>
      </x:c>
      <x:c r="N30" s="96" t="str"/>
      <x:c r="O30" s="96" t="str"/>
      <x:c r="P30" s="96" t="str">
        <x:v>Pending</x:v>
      </x:c>
    </x:row>
    <x:row r="31">
      <x:c r="A31" s="96" t="n">
        <x:v>36</x:v>
      </x:c>
      <x:c r="B31" s="96" t="str">
        <x:v>MemOS — a memory OS for AI</x:v>
      </x:c>
      <x:c r="C31" s="96"/>
      <x:c r="D31" s="96"/>
      <x:c r="E31" s="96"/>
      <x:c r="F31" s="96"/>
      <x:c r="G31" s="96"/>
      <x:c r="H31" s="96"/>
      <x:c r="I31" s="96"/>
      <x:c r="J31" s="96"/>
      <x:c r="K31" s="96"/>
      <x:c r="L31" s="96" t="str">
        <x:f>IF(COUNTA(C31:K31)=0,"",SUM(C31:K31))</x:f>
      </x:c>
      <x:c r="M31" s="96" t="str">
        <x:f>IF(L31="","",IF(L31&gt;=14,"High",IF(L31&gt;=9,"Moderate","Low")))</x:f>
      </x:c>
      <x:c r="N31" s="96" t="str"/>
      <x:c r="O31" s="96" t="str"/>
      <x:c r="P31" s="96" t="str">
        <x:v>Pending</x:v>
      </x:c>
    </x:row>
    <x:row r="32">
      <x:c r="A32" s="96" t="n">
        <x:v>37</x:v>
      </x:c>
      <x:c r="B32" s="96" t="str">
        <x:v>MemLineage — lineage-guided enforcement for agent memory</x:v>
      </x:c>
      <x:c r="C32" s="96"/>
      <x:c r="D32" s="96"/>
      <x:c r="E32" s="96"/>
      <x:c r="F32" s="96"/>
      <x:c r="G32" s="96"/>
      <x:c r="H32" s="96"/>
      <x:c r="I32" s="96"/>
      <x:c r="J32" s="96"/>
      <x:c r="K32" s="96"/>
      <x:c r="L32" s="96" t="str">
        <x:f>IF(COUNTA(C32:K32)=0,"",SUM(C32:K32))</x:f>
      </x:c>
      <x:c r="M32" s="96" t="str">
        <x:f>IF(L32="","",IF(L32&gt;=14,"High",IF(L32&gt;=9,"Moderate","Low")))</x:f>
      </x:c>
      <x:c r="N32" s="96" t="str"/>
      <x:c r="O32" s="96" t="str"/>
      <x:c r="P32" s="96" t="str">
        <x:v>Pending</x:v>
      </x:c>
    </x:row>
    <x:row r="33">
      <x:c r="A33" s="96" t="n">
        <x:v>38</x:v>
      </x:c>
      <x:c r="B33" s="96" t="str">
        <x:v>Origin-bound Authority (non-malleable) against poisoning</x:v>
      </x:c>
      <x:c r="C33" s="96"/>
      <x:c r="D33" s="96"/>
      <x:c r="E33" s="96"/>
      <x:c r="F33" s="96"/>
      <x:c r="G33" s="96"/>
      <x:c r="H33" s="96"/>
      <x:c r="I33" s="96"/>
      <x:c r="J33" s="96"/>
      <x:c r="K33" s="96"/>
      <x:c r="L33" s="96" t="str">
        <x:f>IF(COUNTA(C33:K33)=0,"",SUM(C33:K33))</x:f>
      </x:c>
      <x:c r="M33" s="96" t="str">
        <x:f>IF(L33="","",IF(L33&gt;=14,"High",IF(L33&gt;=9,"Moderate","Low")))</x:f>
      </x:c>
      <x:c r="N33" s="96" t="str"/>
      <x:c r="O33" s="96" t="str"/>
      <x:c r="P33" s="96" t="str">
        <x:v>Pending</x:v>
      </x:c>
    </x:row>
    <x:row r="34">
      <x:c r="A34" s="96" t="n">
        <x:v>39</x:v>
      </x:c>
      <x:c r="B34" s="96" t="str">
        <x:v>MemAudit — post-hoc auditing via causal attribution</x:v>
      </x:c>
      <x:c r="C34" s="96"/>
      <x:c r="D34" s="96"/>
      <x:c r="E34" s="96"/>
      <x:c r="F34" s="96"/>
      <x:c r="G34" s="96"/>
      <x:c r="H34" s="96"/>
      <x:c r="I34" s="96"/>
      <x:c r="J34" s="96"/>
      <x:c r="K34" s="96"/>
      <x:c r="L34" s="96" t="str">
        <x:f>IF(COUNTA(C34:K34)=0,"",SUM(C34:K34))</x:f>
      </x:c>
      <x:c r="M34" s="96" t="str">
        <x:f>IF(L34="","",IF(L34&gt;=14,"High",IF(L34&gt;=9,"Moderate","Low")))</x:f>
      </x:c>
      <x:c r="N34" s="96" t="str"/>
      <x:c r="O34" s="96" t="str"/>
      <x:c r="P34" s="96" t="str">
        <x:v>Pending</x:v>
      </x:c>
    </x:row>
    <x:row r="35">
      <x:c r="A35" s="96" t="n">
        <x:v>40</x:v>
      </x:c>
      <x:c r="B35" s="96" t="str">
        <x:v>Forensic Trajectory Signatures — behavioural detection of poisoning</x:v>
      </x:c>
      <x:c r="C35" s="96"/>
      <x:c r="D35" s="96"/>
      <x:c r="E35" s="96"/>
      <x:c r="F35" s="96"/>
      <x:c r="G35" s="96"/>
      <x:c r="H35" s="96"/>
      <x:c r="I35" s="96"/>
      <x:c r="J35" s="96"/>
      <x:c r="K35" s="96"/>
      <x:c r="L35" s="96" t="str">
        <x:f>IF(COUNTA(C35:K35)=0,"",SUM(C35:K35))</x:f>
      </x:c>
      <x:c r="M35" s="96" t="str">
        <x:f>IF(L35="","",IF(L35&gt;=14,"High",IF(L35&gt;=9,"Moderate","Low")))</x:f>
      </x:c>
      <x:c r="N35" s="96" t="str"/>
      <x:c r="O35" s="96" t="str"/>
      <x:c r="P35" s="96" t="str">
        <x:v>Pending</x:v>
      </x:c>
    </x:row>
    <x:row r="36">
      <x:c r="A36" s="96" t="n">
        <x:v>41</x:v>
      </x:c>
      <x:c r="B36" s="96" t="str">
        <x:v>RobustRAG — certifiably robust RAG vs retrieval corruption</x:v>
      </x:c>
      <x:c r="C36" s="96"/>
      <x:c r="D36" s="96"/>
      <x:c r="E36" s="96"/>
      <x:c r="F36" s="96"/>
      <x:c r="G36" s="96"/>
      <x:c r="H36" s="96"/>
      <x:c r="I36" s="96"/>
      <x:c r="J36" s="96"/>
      <x:c r="K36" s="96"/>
      <x:c r="L36" s="96" t="str">
        <x:f>IF(COUNTA(C36:K36)=0,"",SUM(C36:K36))</x:f>
      </x:c>
      <x:c r="M36" s="96" t="str">
        <x:f>IF(L36="","",IF(L36&gt;=14,"High",IF(L36&gt;=9,"Moderate","Low")))</x:f>
      </x:c>
      <x:c r="N36" s="96" t="str"/>
      <x:c r="O36" s="96" t="str"/>
      <x:c r="P36" s="96" t="str">
        <x:v>Pending</x:v>
      </x:c>
    </x:row>
    <x:row r="37">
      <x:c r="A37" s="96" t="n">
        <x:v>42</x:v>
      </x:c>
      <x:c r="B37" s="96" t="str">
        <x:v>A-MemGuard — proactive defense for agent memory</x:v>
      </x:c>
      <x:c r="C37" s="96"/>
      <x:c r="D37" s="96"/>
      <x:c r="E37" s="96"/>
      <x:c r="F37" s="96"/>
      <x:c r="G37" s="96"/>
      <x:c r="H37" s="96"/>
      <x:c r="I37" s="96"/>
      <x:c r="J37" s="96"/>
      <x:c r="K37" s="96"/>
      <x:c r="L37" s="96" t="str">
        <x:f>IF(COUNTA(C37:K37)=0,"",SUM(C37:K37))</x:f>
      </x:c>
      <x:c r="M37" s="96" t="str">
        <x:f>IF(L37="","",IF(L37&gt;=14,"High",IF(L37&gt;=9,"Moderate","Low")))</x:f>
      </x:c>
      <x:c r="N37" s="96" t="str"/>
      <x:c r="O37" s="96" t="str"/>
      <x:c r="P37" s="96" t="str">
        <x:v>Pending</x:v>
      </x:c>
    </x:row>
    <x:row r="38">
      <x:c r="A38" s="96" t="n">
        <x:v>43</x:v>
      </x:c>
      <x:c r="B38" s="96" t="str">
        <x:v>TrustRAG — robust &amp; trustworthy RAG</x:v>
      </x:c>
      <x:c r="C38" s="96"/>
      <x:c r="D38" s="96"/>
      <x:c r="E38" s="96"/>
      <x:c r="F38" s="96"/>
      <x:c r="G38" s="96"/>
      <x:c r="H38" s="96"/>
      <x:c r="I38" s="96"/>
      <x:c r="J38" s="96"/>
      <x:c r="K38" s="96"/>
      <x:c r="L38" s="96" t="str">
        <x:f>IF(COUNTA(C38:K38)=0,"",SUM(C38:K38))</x:f>
      </x:c>
      <x:c r="M38" s="96" t="str">
        <x:f>IF(L38="","",IF(L38&gt;=14,"High",IF(L38&gt;=9,"Moderate","Low")))</x:f>
      </x:c>
      <x:c r="N38" s="96" t="str"/>
      <x:c r="O38" s="96" t="str"/>
      <x:c r="P38" s="96" t="str">
        <x:v>Pending</x:v>
      </x:c>
    </x:row>
    <x:row r="39">
      <x:c r="A39" s="96" t="n">
        <x:v>44</x:v>
      </x:c>
      <x:c r="B39" s="96" t="str">
        <x:v>SeCon-RAG — semantic filtering + conflict-free RAG</x:v>
      </x:c>
      <x:c r="C39" s="96"/>
      <x:c r="D39" s="96"/>
      <x:c r="E39" s="96"/>
      <x:c r="F39" s="96"/>
      <x:c r="G39" s="96"/>
      <x:c r="H39" s="96"/>
      <x:c r="I39" s="96"/>
      <x:c r="J39" s="96"/>
      <x:c r="K39" s="96"/>
      <x:c r="L39" s="96" t="str">
        <x:f>IF(COUNTA(C39:K39)=0,"",SUM(C39:K39))</x:f>
      </x:c>
      <x:c r="M39" s="96" t="str">
        <x:f>IF(L39="","",IF(L39&gt;=14,"High",IF(L39&gt;=9,"Moderate","Low")))</x:f>
      </x:c>
      <x:c r="N39" s="96" t="str"/>
      <x:c r="O39" s="96" t="str"/>
      <x:c r="P39" s="96" t="str">
        <x:v>Pending</x:v>
      </x:c>
    </x:row>
    <x:row r="40">
      <x:c r="A40" s="96" t="n">
        <x:v>45</x:v>
      </x:c>
      <x:c r="B40" s="96" t="str">
        <x:v>RevPRAG — poisoning detection via activations</x:v>
      </x:c>
      <x:c r="C40" s="96"/>
      <x:c r="D40" s="96"/>
      <x:c r="E40" s="96"/>
      <x:c r="F40" s="96"/>
      <x:c r="G40" s="96"/>
      <x:c r="H40" s="96"/>
      <x:c r="I40" s="96"/>
      <x:c r="J40" s="96"/>
      <x:c r="K40" s="96"/>
      <x:c r="L40" s="96" t="str">
        <x:f>IF(COUNTA(C40:K40)=0,"",SUM(C40:K40))</x:f>
      </x:c>
      <x:c r="M40" s="96" t="str">
        <x:f>IF(L40="","",IF(L40&gt;=14,"High",IF(L40&gt;=9,"Moderate","Low")))</x:f>
      </x:c>
      <x:c r="N40" s="96" t="str"/>
      <x:c r="O40" s="96" t="str"/>
      <x:c r="P40" s="96" t="str">
        <x:v>Pending</x:v>
      </x:c>
    </x:row>
    <x:row r="41">
      <x:c r="A41" s="96" t="n">
        <x:v>46</x:v>
      </x:c>
      <x:c r="B41" s="96" t="str">
        <x:v>CaMeL — defeating prompt injection by design</x:v>
      </x:c>
      <x:c r="C41" s="96"/>
      <x:c r="D41" s="96"/>
      <x:c r="E41" s="96"/>
      <x:c r="F41" s="96"/>
      <x:c r="G41" s="96"/>
      <x:c r="H41" s="96"/>
      <x:c r="I41" s="96"/>
      <x:c r="J41" s="96"/>
      <x:c r="K41" s="96"/>
      <x:c r="L41" s="96" t="str">
        <x:f>IF(COUNTA(C41:K41)=0,"",SUM(C41:K41))</x:f>
      </x:c>
      <x:c r="M41" s="96" t="str">
        <x:f>IF(L41="","",IF(L41&gt;=14,"High",IF(L41&gt;=9,"Moderate","Low")))</x:f>
      </x:c>
      <x:c r="N41" s="96" t="str"/>
      <x:c r="O41" s="96" t="str"/>
      <x:c r="P41" s="96" t="str">
        <x:v>Pending</x:v>
      </x:c>
    </x:row>
    <x:row r="42">
      <x:c r="A42" s="96" t="n">
        <x:v>47</x:v>
      </x:c>
      <x:c r="B42" s="96" t="str">
        <x:v>FIDES — securing agents with information-flow control</x:v>
      </x:c>
      <x:c r="C42" s="96"/>
      <x:c r="D42" s="96"/>
      <x:c r="E42" s="96"/>
      <x:c r="F42" s="96"/>
      <x:c r="G42" s="96"/>
      <x:c r="H42" s="96"/>
      <x:c r="I42" s="96"/>
      <x:c r="J42" s="96"/>
      <x:c r="K42" s="96"/>
      <x:c r="L42" s="96" t="str">
        <x:f>IF(COUNTA(C42:K42)=0,"",SUM(C42:K42))</x:f>
      </x:c>
      <x:c r="M42" s="96" t="str">
        <x:f>IF(L42="","",IF(L42&gt;=14,"High",IF(L42&gt;=9,"Moderate","Low")))</x:f>
      </x:c>
      <x:c r="N42" s="96" t="str"/>
      <x:c r="O42" s="96" t="str"/>
      <x:c r="P42" s="96" t="str">
        <x:v>Pending</x:v>
      </x:c>
    </x:row>
    <x:row r="43">
      <x:c r="A43" s="96" t="n">
        <x:v>48</x:v>
      </x:c>
      <x:c r="B43" s="96" t="str">
        <x:v>Progent — programmable privilege control</x:v>
      </x:c>
      <x:c r="C43" s="96"/>
      <x:c r="D43" s="96"/>
      <x:c r="E43" s="96"/>
      <x:c r="F43" s="96"/>
      <x:c r="G43" s="96"/>
      <x:c r="H43" s="96"/>
      <x:c r="I43" s="96"/>
      <x:c r="J43" s="96"/>
      <x:c r="K43" s="96"/>
      <x:c r="L43" s="96" t="str">
        <x:f>IF(COUNTA(C43:K43)=0,"",SUM(C43:K43))</x:f>
      </x:c>
      <x:c r="M43" s="96" t="str">
        <x:f>IF(L43="","",IF(L43&gt;=14,"High",IF(L43&gt;=9,"Moderate","Low")))</x:f>
      </x:c>
      <x:c r="N43" s="96" t="str"/>
      <x:c r="O43" s="96" t="str"/>
      <x:c r="P43" s="96" t="str">
        <x:v>Pending</x:v>
      </x:c>
    </x:row>
    <x:row r="44">
      <x:c r="A44" s="96" t="n">
        <x:v>49</x:v>
      </x:c>
      <x:c r="B44" s="96" t="str">
        <x:v>IsolateGPT — execution isolation architecture</x:v>
      </x:c>
      <x:c r="C44" s="96"/>
      <x:c r="D44" s="96"/>
      <x:c r="E44" s="96"/>
      <x:c r="F44" s="96"/>
      <x:c r="G44" s="96"/>
      <x:c r="H44" s="96"/>
      <x:c r="I44" s="96"/>
      <x:c r="J44" s="96"/>
      <x:c r="K44" s="96"/>
      <x:c r="L44" s="96" t="str">
        <x:f>IF(COUNTA(C44:K44)=0,"",SUM(C44:K44))</x:f>
      </x:c>
      <x:c r="M44" s="96" t="str">
        <x:f>IF(L44="","",IF(L44&gt;=14,"High",IF(L44&gt;=9,"Moderate","Low")))</x:f>
      </x:c>
      <x:c r="N44" s="96" t="str"/>
      <x:c r="O44" s="96" t="str"/>
      <x:c r="P44" s="96" t="str">
        <x:v>Pending</x:v>
      </x:c>
    </x:row>
    <x:row r="45">
      <x:c r="A45" s="96" t="n">
        <x:v>50</x:v>
      </x:c>
      <x:c r="B45" s="96" t="str">
        <x:v>Collaborative Memory — multi-user sharing w/ dynamic access control</x:v>
      </x:c>
      <x:c r="C45" s="96"/>
      <x:c r="D45" s="96"/>
      <x:c r="E45" s="96"/>
      <x:c r="F45" s="96"/>
      <x:c r="G45" s="96"/>
      <x:c r="H45" s="96"/>
      <x:c r="I45" s="96"/>
      <x:c r="J45" s="96"/>
      <x:c r="K45" s="96"/>
      <x:c r="L45" s="96" t="str">
        <x:f>IF(COUNTA(C45:K45)=0,"",SUM(C45:K45))</x:f>
      </x:c>
      <x:c r="M45" s="96" t="str">
        <x:f>IF(L45="","",IF(L45&gt;=14,"High",IF(L45&gt;=9,"Moderate","Low")))</x:f>
      </x:c>
      <x:c r="N45" s="96" t="str"/>
      <x:c r="O45" s="96" t="str"/>
      <x:c r="P45" s="96" t="str">
        <x:v>Pending</x:v>
      </x:c>
    </x:row>
    <x:row r="46">
      <x:c r="A46" s="96" t="n">
        <x:v>51</x:v>
      </x:c>
      <x:c r="B46" s="96" t="str">
        <x:v>BlindGuard — safeguarding multi-agent systems, unknown attacks</x:v>
      </x:c>
      <x:c r="C46" s="96"/>
      <x:c r="D46" s="96"/>
      <x:c r="E46" s="96"/>
      <x:c r="F46" s="96"/>
      <x:c r="G46" s="96"/>
      <x:c r="H46" s="96"/>
      <x:c r="I46" s="96"/>
      <x:c r="J46" s="96"/>
      <x:c r="K46" s="96"/>
      <x:c r="L46" s="96" t="str">
        <x:f>IF(COUNTA(C46:K46)=0,"",SUM(C46:K46))</x:f>
      </x:c>
      <x:c r="M46" s="96" t="str">
        <x:f>IF(L46="","",IF(L46&gt;=14,"High",IF(L46&gt;=9,"Moderate","Low")))</x:f>
      </x:c>
      <x:c r="N46" s="96" t="str"/>
      <x:c r="O46" s="96" t="str"/>
      <x:c r="P46" s="96" t="str">
        <x:v>Pending</x:v>
      </x:c>
    </x:row>
    <x:row r="47">
      <x:c r="A47" s="96" t="n">
        <x:v>52</x:v>
      </x:c>
      <x:c r="B47" s="96" t="str">
        <x:v>RAGForensics — traceback of poisoning to RAG</x:v>
      </x:c>
      <x:c r="C47" s="96"/>
      <x:c r="D47" s="96"/>
      <x:c r="E47" s="96"/>
      <x:c r="F47" s="96"/>
      <x:c r="G47" s="96"/>
      <x:c r="H47" s="96"/>
      <x:c r="I47" s="96"/>
      <x:c r="J47" s="96"/>
      <x:c r="K47" s="96"/>
      <x:c r="L47" s="96" t="str">
        <x:f>IF(COUNTA(C47:K47)=0,"",SUM(C47:K47))</x:f>
      </x:c>
      <x:c r="M47" s="96" t="str">
        <x:f>IF(L47="","",IF(L47&gt;=14,"High",IF(L47&gt;=9,"Moderate","Low")))</x:f>
      </x:c>
      <x:c r="N47" s="96" t="str"/>
      <x:c r="O47" s="96" t="str"/>
      <x:c r="P47" s="96" t="str">
        <x:v>Pending</x:v>
      </x:c>
    </x:row>
    <x:row r="48">
      <x:c r="A48" s="96" t="n">
        <x:v>53</x:v>
      </x:c>
      <x:c r="B48" s="96" t="str">
        <x:v>SuperLocalMemory — privacy-preserving multi-agent memory, Bayesian trust</x:v>
      </x:c>
      <x:c r="C48" s="96"/>
      <x:c r="D48" s="96"/>
      <x:c r="E48" s="96"/>
      <x:c r="F48" s="96"/>
      <x:c r="G48" s="96"/>
      <x:c r="H48" s="96"/>
      <x:c r="I48" s="96"/>
      <x:c r="J48" s="96"/>
      <x:c r="K48" s="96"/>
      <x:c r="L48" s="96" t="str">
        <x:f>IF(COUNTA(C48:K48)=0,"",SUM(C48:K48))</x:f>
      </x:c>
      <x:c r="M48" s="96" t="str">
        <x:f>IF(L48="","",IF(L48&gt;=14,"High",IF(L48&gt;=9,"Moderate","Low")))</x:f>
      </x:c>
      <x:c r="N48" s="96" t="str"/>
      <x:c r="O48" s="96" t="str"/>
      <x:c r="P48" s="96" t="str">
        <x:v>Pending</x:v>
      </x:c>
    </x:row>
    <x:row r="49">
      <x:c r="A49" s="96" t="n">
        <x:v>54</x:v>
      </x:c>
      <x:c r="B49" s="96" t="str">
        <x:v>MEMSAD — gradient-coupled anomaly detection for memory poisoning</x:v>
      </x:c>
      <x:c r="C49" s="96"/>
      <x:c r="D49" s="96"/>
      <x:c r="E49" s="96"/>
      <x:c r="F49" s="96"/>
      <x:c r="G49" s="96"/>
      <x:c r="H49" s="96"/>
      <x:c r="I49" s="96"/>
      <x:c r="J49" s="96"/>
      <x:c r="K49" s="96"/>
      <x:c r="L49" s="96" t="str">
        <x:f>IF(COUNTA(C49:K49)=0,"",SUM(C49:K49))</x:f>
      </x:c>
      <x:c r="M49" s="96" t="str">
        <x:f>IF(L49="","",IF(L49&gt;=14,"High",IF(L49&gt;=9,"Moderate","Low")))</x:f>
      </x:c>
      <x:c r="N49" s="96" t="str"/>
      <x:c r="O49" s="96" t="str"/>
      <x:c r="P49" s="96" t="str">
        <x:v>Pending</x:v>
      </x:c>
    </x:row>
    <x:row r="50">
      <x:c r="A50" s="96" t="n">
        <x:v>55</x:v>
      </x:c>
      <x:c r="B50" s="96" t="str">
        <x:v>Agentic Unlearning — LLM agent meets machine unlearning</x:v>
      </x:c>
      <x:c r="C50" s="96"/>
      <x:c r="D50" s="96"/>
      <x:c r="E50" s="96"/>
      <x:c r="F50" s="96"/>
      <x:c r="G50" s="96"/>
      <x:c r="H50" s="96"/>
      <x:c r="I50" s="96"/>
      <x:c r="J50" s="96"/>
      <x:c r="K50" s="96"/>
      <x:c r="L50" s="96" t="str">
        <x:f>IF(COUNTA(C50:K50)=0,"",SUM(C50:K50))</x:f>
      </x:c>
      <x:c r="M50" s="96" t="str">
        <x:f>IF(L50="","",IF(L50&gt;=14,"High",IF(L50&gt;=9,"Moderate","Low")))</x:f>
      </x:c>
      <x:c r="N50" s="96" t="str"/>
      <x:c r="O50" s="96" t="str"/>
      <x:c r="P50" s="96" t="str">
        <x:v>Pending</x:v>
      </x:c>
    </x:row>
    <x:row r="51">
      <x:c r="A51" s="96" t="n">
        <x:v>56</x:v>
      </x:c>
      <x:c r="B51" s="96" t="str">
        <x:v>When Machine Unlearning Meets RAG</x:v>
      </x:c>
      <x:c r="C51" s="96"/>
      <x:c r="D51" s="96"/>
      <x:c r="E51" s="96"/>
      <x:c r="F51" s="96"/>
      <x:c r="G51" s="96"/>
      <x:c r="H51" s="96"/>
      <x:c r="I51" s="96"/>
      <x:c r="J51" s="96"/>
      <x:c r="K51" s="96"/>
      <x:c r="L51" s="96" t="str">
        <x:f>IF(COUNTA(C51:K51)=0,"",SUM(C51:K51))</x:f>
      </x:c>
      <x:c r="M51" s="96" t="str">
        <x:f>IF(L51="","",IF(L51&gt;=14,"High",IF(L51&gt;=9,"Moderate","Low")))</x:f>
      </x:c>
      <x:c r="N51" s="96" t="str"/>
      <x:c r="O51" s="96" t="str"/>
      <x:c r="P51" s="96" t="str">
        <x:v>Pending</x:v>
      </x:c>
    </x:row>
    <x:row r="52">
      <x:c r="A52" s="96" t="n">
        <x:v>57</x:v>
      </x:c>
      <x:c r="B52" s="96" t="str">
        <x:v>LongMemEval — long-term interactive memory benchmark</x:v>
      </x:c>
      <x:c r="C52" s="96"/>
      <x:c r="D52" s="96"/>
      <x:c r="E52" s="96"/>
      <x:c r="F52" s="96"/>
      <x:c r="G52" s="96"/>
      <x:c r="H52" s="96"/>
      <x:c r="I52" s="96"/>
      <x:c r="J52" s="96"/>
      <x:c r="K52" s="96"/>
      <x:c r="L52" s="96" t="str">
        <x:f>IF(COUNTA(C52:K52)=0,"",SUM(C52:K52))</x:f>
      </x:c>
      <x:c r="M52" s="96" t="str">
        <x:f>IF(L52="","",IF(L52&gt;=14,"High",IF(L52&gt;=9,"Moderate","Low")))</x:f>
      </x:c>
      <x:c r="N52" s="96" t="str"/>
      <x:c r="O52" s="96" t="str"/>
      <x:c r="P52" s="96" t="str">
        <x:v>Pending</x:v>
      </x:c>
    </x:row>
    <x:row r="53">
      <x:c r="A53" s="96" t="n">
        <x:v>58</x:v>
      </x:c>
      <x:c r="B53" s="96" t="str">
        <x:v>MemBench — comprehensive memory evaluation</x:v>
      </x:c>
      <x:c r="C53" s="96"/>
      <x:c r="D53" s="96"/>
      <x:c r="E53" s="96"/>
      <x:c r="F53" s="96"/>
      <x:c r="G53" s="96"/>
      <x:c r="H53" s="96"/>
      <x:c r="I53" s="96"/>
      <x:c r="J53" s="96"/>
      <x:c r="K53" s="96"/>
      <x:c r="L53" s="96" t="str">
        <x:f>IF(COUNTA(C53:K53)=0,"",SUM(C53:K53))</x:f>
      </x:c>
      <x:c r="M53" s="96" t="str">
        <x:f>IF(L53="","",IF(L53&gt;=14,"High",IF(L53&gt;=9,"Moderate","Low")))</x:f>
      </x:c>
      <x:c r="N53" s="96" t="str"/>
      <x:c r="O53" s="96" t="str"/>
      <x:c r="P53" s="96" t="str">
        <x:v>Pending</x:v>
      </x:c>
    </x:row>
    <x:row r="54">
      <x:c r="A54" s="96" t="n">
        <x:v>59</x:v>
      </x:c>
      <x:c r="B54" s="96" t="str">
        <x:v>Mem2ActBench — LTM utilisation in tool tasks</x:v>
      </x:c>
      <x:c r="C54" s="96"/>
      <x:c r="D54" s="96"/>
      <x:c r="E54" s="96"/>
      <x:c r="F54" s="96"/>
      <x:c r="G54" s="96"/>
      <x:c r="H54" s="96"/>
      <x:c r="I54" s="96"/>
      <x:c r="J54" s="96"/>
      <x:c r="K54" s="96"/>
      <x:c r="L54" s="96" t="str">
        <x:f>IF(COUNTA(C54:K54)=0,"",SUM(C54:K54))</x:f>
      </x:c>
      <x:c r="M54" s="96" t="str">
        <x:f>IF(L54="","",IF(L54&gt;=14,"High",IF(L54&gt;=9,"Moderate","Low")))</x:f>
      </x:c>
      <x:c r="N54" s="96" t="str"/>
      <x:c r="O54" s="96" t="str"/>
      <x:c r="P54" s="96" t="str">
        <x:v>Pending</x:v>
      </x:c>
    </x:row>
    <x:row r="55">
      <x:c r="A55" s="96" t="n">
        <x:v>60</x:v>
      </x:c>
      <x:c r="B55" s="96" t="str">
        <x:v>GateMem — memory governance in multi-principal shared memory</x:v>
      </x:c>
      <x:c r="C55" s="96"/>
      <x:c r="D55" s="96"/>
      <x:c r="E55" s="96"/>
      <x:c r="F55" s="96"/>
      <x:c r="G55" s="96"/>
      <x:c r="H55" s="96"/>
      <x:c r="I55" s="96"/>
      <x:c r="J55" s="96"/>
      <x:c r="K55" s="96"/>
      <x:c r="L55" s="96" t="str">
        <x:f>IF(COUNTA(C55:K55)=0,"",SUM(C55:K55))</x:f>
      </x:c>
      <x:c r="M55" s="96" t="str">
        <x:f>IF(L55="","",IF(L55&gt;=14,"High",IF(L55&gt;=9,"Moderate","Low")))</x:f>
      </x:c>
      <x:c r="N55" s="96" t="str"/>
      <x:c r="O55" s="96" t="str"/>
      <x:c r="P55" s="96" t="str">
        <x:v>Pending</x:v>
      </x:c>
    </x:row>
    <x:row r="56">
      <x:c r="A56" s="96" t="n">
        <x:v>61</x:v>
      </x:c>
      <x:c r="B56" s="96" t="str">
        <x:v>CIMemories — contextual integrity of persistent memory</x:v>
      </x:c>
      <x:c r="C56" s="96"/>
      <x:c r="D56" s="96"/>
      <x:c r="E56" s="96"/>
      <x:c r="F56" s="96"/>
      <x:c r="G56" s="96"/>
      <x:c r="H56" s="96"/>
      <x:c r="I56" s="96"/>
      <x:c r="J56" s="96"/>
      <x:c r="K56" s="96"/>
      <x:c r="L56" s="96" t="str">
        <x:f>IF(COUNTA(C56:K56)=0,"",SUM(C56:K56))</x:f>
      </x:c>
      <x:c r="M56" s="96" t="str">
        <x:f>IF(L56="","",IF(L56&gt;=14,"High",IF(L56&gt;=9,"Moderate","Low")))</x:f>
      </x:c>
      <x:c r="N56" s="96" t="str"/>
      <x:c r="O56" s="96" t="str"/>
      <x:c r="P56" s="96" t="str">
        <x:v>Pending</x:v>
      </x:c>
    </x:row>
    <x:row r="57">
      <x:c r="A57" s="96" t="n">
        <x:v>62</x:v>
      </x:c>
      <x:c r="B57" s="96" t="str">
        <x:v>PersistBench — when should LTM be forgotten</x:v>
      </x:c>
      <x:c r="C57" s="96"/>
      <x:c r="D57" s="96"/>
      <x:c r="E57" s="96"/>
      <x:c r="F57" s="96"/>
      <x:c r="G57" s="96"/>
      <x:c r="H57" s="96"/>
      <x:c r="I57" s="96"/>
      <x:c r="J57" s="96"/>
      <x:c r="K57" s="96"/>
      <x:c r="L57" s="96" t="str">
        <x:f>IF(COUNTA(C57:K57)=0,"",SUM(C57:K57))</x:f>
      </x:c>
      <x:c r="M57" s="96" t="str">
        <x:f>IF(L57="","",IF(L57&gt;=14,"High",IF(L57&gt;=9,"Moderate","Low")))</x:f>
      </x:c>
      <x:c r="N57" s="96" t="str"/>
      <x:c r="O57" s="96" t="str"/>
      <x:c r="P57" s="96" t="str">
        <x:v>Pending</x:v>
      </x:c>
    </x:row>
    <x:row r="58">
      <x:c r="A58" s="96" t="n">
        <x:v>63</x:v>
      </x:c>
      <x:c r="B58" s="96" t="str">
        <x:v>AgentDojo — dynamic env for prompt-injection</x:v>
      </x:c>
      <x:c r="C58" s="96"/>
      <x:c r="D58" s="96"/>
      <x:c r="E58" s="96"/>
      <x:c r="F58" s="96"/>
      <x:c r="G58" s="96"/>
      <x:c r="H58" s="96"/>
      <x:c r="I58" s="96"/>
      <x:c r="J58" s="96"/>
      <x:c r="K58" s="96"/>
      <x:c r="L58" s="96" t="str">
        <x:f>IF(COUNTA(C58:K58)=0,"",SUM(C58:K58))</x:f>
      </x:c>
      <x:c r="M58" s="96" t="str">
        <x:f>IF(L58="","",IF(L58&gt;=14,"High",IF(L58&gt;=9,"Moderate","Low")))</x:f>
      </x:c>
      <x:c r="N58" s="96" t="str"/>
      <x:c r="O58" s="96" t="str"/>
      <x:c r="P58" s="96" t="str">
        <x:v>Pending</x:v>
      </x:c>
    </x:row>
    <x:row r="59">
      <x:c r="A59" s="96" t="n">
        <x:v>64</x:v>
      </x:c>
      <x:c r="B59" s="96" t="str">
        <x:v>InjecAgent — indirect PI in tool-integrated agents</x:v>
      </x:c>
      <x:c r="C59" s="96"/>
      <x:c r="D59" s="96"/>
      <x:c r="E59" s="96"/>
      <x:c r="F59" s="96"/>
      <x:c r="G59" s="96"/>
      <x:c r="H59" s="96"/>
      <x:c r="I59" s="96"/>
      <x:c r="J59" s="96"/>
      <x:c r="K59" s="96"/>
      <x:c r="L59" s="96" t="str">
        <x:f>IF(COUNTA(C59:K59)=0,"",SUM(C59:K59))</x:f>
      </x:c>
      <x:c r="M59" s="96" t="str">
        <x:f>IF(L59="","",IF(L59&gt;=14,"High",IF(L59&gt;=9,"Moderate","Low")))</x:f>
      </x:c>
      <x:c r="N59" s="96" t="str"/>
      <x:c r="O59" s="96" t="str"/>
      <x:c r="P59" s="96" t="str">
        <x:v>Pending</x:v>
      </x:c>
    </x:row>
    <x:row r="60">
      <x:c r="A60" s="96" t="n">
        <x:v>65</x:v>
      </x:c>
      <x:c r="B60" s="96" t="str">
        <x:v>Agent Security Bench (ASB)</x:v>
      </x:c>
      <x:c r="C60" s="96"/>
      <x:c r="D60" s="96"/>
      <x:c r="E60" s="96"/>
      <x:c r="F60" s="96"/>
      <x:c r="G60" s="96"/>
      <x:c r="H60" s="96"/>
      <x:c r="I60" s="96"/>
      <x:c r="J60" s="96"/>
      <x:c r="K60" s="96"/>
      <x:c r="L60" s="96" t="str">
        <x:f>IF(COUNTA(C60:K60)=0,"",SUM(C60:K60))</x:f>
      </x:c>
      <x:c r="M60" s="96" t="str">
        <x:f>IF(L60="","",IF(L60&gt;=14,"High",IF(L60&gt;=9,"Moderate","Low")))</x:f>
      </x:c>
      <x:c r="N60" s="96" t="str"/>
      <x:c r="O60" s="96" t="str"/>
      <x:c r="P60" s="96" t="str">
        <x:v>Pending</x:v>
      </x:c>
    </x:row>
    <x:row r="61">
      <x:c r="A61" s="96" t="n">
        <x:v>66</x:v>
      </x:c>
      <x:c r="B61" s="96" t="str">
        <x:v>MemSyco-Bench — sycophancy in agent memory</x:v>
      </x:c>
      <x:c r="C61" s="96"/>
      <x:c r="D61" s="96"/>
      <x:c r="E61" s="96"/>
      <x:c r="F61" s="96"/>
      <x:c r="G61" s="96"/>
      <x:c r="H61" s="96"/>
      <x:c r="I61" s="96"/>
      <x:c r="J61" s="96"/>
      <x:c r="K61" s="96"/>
      <x:c r="L61" s="96" t="str">
        <x:f>IF(COUNTA(C61:K61)=0,"",SUM(C61:K61))</x:f>
      </x:c>
      <x:c r="M61" s="96" t="str">
        <x:f>IF(L61="","",IF(L61&gt;=14,"High",IF(L61&gt;=9,"Moderate","Low")))</x:f>
      </x:c>
      <x:c r="N61" s="96" t="str"/>
      <x:c r="O61" s="96" t="str"/>
      <x:c r="P61" s="96" t="str">
        <x:v>Pending</x:v>
      </x:c>
    </x:row>
    <x:row r="62">
      <x:c r="A62" s="96" t="n">
        <x:v>67</x:v>
      </x:c>
      <x:c r="B62" s="96" t="str">
        <x:v>AgentLAB — benchmarking agents vs long-horizon attacks</x:v>
      </x:c>
      <x:c r="C62" s="96"/>
      <x:c r="D62" s="96"/>
      <x:c r="E62" s="96"/>
      <x:c r="F62" s="96"/>
      <x:c r="G62" s="96"/>
      <x:c r="H62" s="96"/>
      <x:c r="I62" s="96"/>
      <x:c r="J62" s="96"/>
      <x:c r="K62" s="96"/>
      <x:c r="L62" s="96" t="str">
        <x:f>IF(COUNTA(C62:K62)=0,"",SUM(C62:K62))</x:f>
      </x:c>
      <x:c r="M62" s="96" t="str">
        <x:f>IF(L62="","",IF(L62&gt;=14,"High",IF(L62&gt;=9,"Moderate","Low")))</x:f>
      </x:c>
      <x:c r="N62" s="96" t="str"/>
      <x:c r="O62" s="96" t="str"/>
      <x:c r="P62" s="96" t="str">
        <x:v>Pending</x:v>
      </x:c>
    </x:row>
  </x:sheetData>
  <x:mergeCells>
    <x:mergeCell ref="A1:P1"/>
    <x:mergeCell ref="A2:P2"/>
  </x:mergeCells>
  <x:conditionalFormatting sqref="M5:M62">
    <x:cfRule type="expression" dxfId="4" priority="1">
      <x:formula>M5="High"</x:formula>
    </x:cfRule>
    <x:cfRule type="expression" dxfId="5" priority="2">
      <x:formula>M5="Low"</x:formula>
    </x:cfRule>
  </x:conditionalFormatting>
  <x:dataValidations count="10">
    <x:dataValidation type="list" sqref="C5:C62">
      <x:formula1>"0,1,2"</x:formula1>
    </x:dataValidation>
    <x:dataValidation type="list" sqref="D5:D62">
      <x:formula1>"0,1,2"</x:formula1>
    </x:dataValidation>
    <x:dataValidation type="list" sqref="E5:E62">
      <x:formula1>"0,1,2"</x:formula1>
    </x:dataValidation>
    <x:dataValidation type="list" sqref="F5:F62">
      <x:formula1>"0,1,2"</x:formula1>
    </x:dataValidation>
    <x:dataValidation type="list" sqref="G5:G62">
      <x:formula1>"0,1,2"</x:formula1>
    </x:dataValidation>
    <x:dataValidation type="list" sqref="H5:H62">
      <x:formula1>"0,1,2"</x:formula1>
    </x:dataValidation>
    <x:dataValidation type="list" sqref="I5:I62">
      <x:formula1>"0,1,2"</x:formula1>
    </x:dataValidation>
    <x:dataValidation type="list" sqref="J5:J62">
      <x:formula1>"0,1,2"</x:formula1>
    </x:dataValidation>
    <x:dataValidation type="list" sqref="K5:K62">
      <x:formula1>"0,1,2"</x:formula1>
    </x:dataValidation>
    <x:dataValidation type="list" sqref="P5:P62">
      <x:formula1>"Pending,Complete,Needs discussion"</x:formula1>
    </x:dataValidation>
  </x:dataValidations>
  <x:pageMargins left="0.7" right="0.7" top="0.75" bottom="0.75" header="0.3" footer="0.3"/>
  <x:tableParts count="1">
    <x:tablePart xmlns:r="http://schemas.openxmlformats.org/officeDocument/2006/relationships" r:id="R94b9ec3251a9479b"/>
  </x:tableParts>
</x:worksheet>
</file>

<file path=xl/worksheets/sheet12.xml><?xml version="1.0" encoding="utf-8"?>
<x:worksheet xmlns:x="http://schemas.openxmlformats.org/spreadsheetml/2006/main">
  <x:sheetFormatPr defaultRowHeight="15"/>
  <x:cols>
    <x:col min="1" max="1" width="34" hidden="0" customWidth="1"/>
    <x:col min="2" max="2" width="14" hidden="0" customWidth="1"/>
    <x:col min="3" max="3" width="14" hidden="0" customWidth="1"/>
    <x:col min="4" max="4" width="34" hidden="0" customWidth="1"/>
    <x:col min="5" max="5" width="14" hidden="0" customWidth="1"/>
    <x:col min="6" max="6" width="4" hidden="0" customWidth="1"/>
    <x:col min="7" max="7" width="25" hidden="0" customWidth="1"/>
    <x:col min="8" max="8" width="15" hidden="0" customWidth="1"/>
  </x:cols>
  <x:sheetData>
    <x:row r="1">
      <x:c r="A1" s="116" t="str">
        <x:v>PRISMA / PRISMA-ScR Flow Calculator</x:v>
      </x:c>
      <x:c r="B1" s="116"/>
      <x:c r="C1" s="116"/>
      <x:c r="D1" s="116"/>
      <x:c r="E1" s="116"/>
      <x:c r="F1" s="116"/>
      <x:c r="G1" s="116"/>
      <x:c r="H1" s="116"/>
    </x:row>
    <x:row r="2">
      <x:c r="A2" s="96"/>
      <x:c r="B2" s="96"/>
      <x:c r="C2" s="96"/>
      <x:c r="D2" s="96"/>
      <x:c r="E2" s="96"/>
      <x:c r="F2" s="96"/>
      <x:c r="G2" s="96"/>
      <x:c r="H2" s="96"/>
    </x:row>
    <x:row r="3">
      <x:c r="A3" s="78" t="str">
        <x:v>Source</x:v>
      </x:c>
      <x:c r="B3" s="78" t="str">
        <x:v>Raw records</x:v>
      </x:c>
      <x:c r="C3" s="78" t="str">
        <x:v>Export date</x:v>
      </x:c>
      <x:c r="D3" s="78" t="str">
        <x:v>Notes</x:v>
      </x:c>
      <x:c r="E3" s="96"/>
      <x:c r="F3" s="96"/>
      <x:c r="G3" s="96"/>
      <x:c r="H3" s="96"/>
    </x:row>
    <x:row r="4">
      <x:c r="A4" s="96" t="str">
        <x:v>IEEE Xplore</x:v>
      </x:c>
      <x:c r="B4" s="117"/>
      <x:c r="C4" s="118"/>
      <x:c r="D4" s="96" t="str"/>
      <x:c r="E4" s="96"/>
      <x:c r="F4" s="96"/>
      <x:c r="G4" s="96"/>
      <x:c r="H4" s="96"/>
    </x:row>
    <x:row r="5">
      <x:c r="A5" s="96" t="str">
        <x:v>ACM Digital Library</x:v>
      </x:c>
      <x:c r="B5" s="117"/>
      <x:c r="C5" s="118"/>
      <x:c r="D5" s="96" t="str"/>
      <x:c r="E5" s="96"/>
      <x:c r="F5" s="96"/>
      <x:c r="G5" s="96"/>
      <x:c r="H5" s="96"/>
    </x:row>
    <x:row r="6">
      <x:c r="A6" s="96" t="str">
        <x:v>Scopus</x:v>
      </x:c>
      <x:c r="B6" s="117"/>
      <x:c r="C6" s="118"/>
      <x:c r="D6" s="96" t="str"/>
      <x:c r="E6" s="96"/>
      <x:c r="F6" s="96"/>
      <x:c r="G6" s="96"/>
      <x:c r="H6" s="96"/>
    </x:row>
    <x:row r="7">
      <x:c r="A7" s="96" t="str">
        <x:v>Web of Science</x:v>
      </x:c>
      <x:c r="B7" s="117"/>
      <x:c r="C7" s="118"/>
      <x:c r="D7" s="96" t="str"/>
      <x:c r="E7" s="96"/>
      <x:c r="F7" s="96"/>
      <x:c r="G7" s="96"/>
      <x:c r="H7" s="96"/>
    </x:row>
    <x:row r="8">
      <x:c r="A8" s="96" t="str">
        <x:v>arXiv/OpenReview</x:v>
      </x:c>
      <x:c r="B8" s="117"/>
      <x:c r="C8" s="118"/>
      <x:c r="D8" s="96" t="str"/>
      <x:c r="E8" s="96"/>
      <x:c r="F8" s="96"/>
      <x:c r="G8" s="96"/>
      <x:c r="H8" s="96"/>
    </x:row>
    <x:row r="9">
      <x:c r="A9" s="96" t="str">
        <x:v>Backward/forward snowballing</x:v>
      </x:c>
      <x:c r="B9" s="117"/>
      <x:c r="C9" s="118"/>
      <x:c r="D9" s="96" t="str"/>
      <x:c r="E9" s="96"/>
      <x:c r="F9" s="96"/>
      <x:c r="G9" s="96"/>
      <x:c r="H9" s="96"/>
    </x:row>
    <x:row r="10">
      <x:c r="A10" s="96" t="str">
        <x:v>Other</x:v>
      </x:c>
      <x:c r="B10" s="117"/>
      <x:c r="C10" s="118"/>
      <x:c r="D10" s="96" t="str"/>
      <x:c r="E10" s="96"/>
      <x:c r="F10" s="96"/>
      <x:c r="G10" s="96"/>
      <x:c r="H10" s="96"/>
    </x:row>
    <x:row r="11">
      <x:c r="A11" s="96"/>
      <x:c r="B11" s="96"/>
      <x:c r="C11" s="96"/>
      <x:c r="D11" s="96"/>
      <x:c r="E11" s="96"/>
      <x:c r="F11" s="96"/>
      <x:c r="G11" s="96"/>
      <x:c r="H11" s="96"/>
    </x:row>
    <x:row r="12">
      <x:c r="A12" s="78" t="str">
        <x:v>Identification and screening step</x:v>
      </x:c>
      <x:c r="B12" s="78" t="str">
        <x:v>Count</x:v>
      </x:c>
      <x:c r="C12" s="96"/>
      <x:c r="D12" s="92" t="str">
        <x:v>Full-text exclusion reasons</x:v>
      </x:c>
      <x:c r="E12" s="92"/>
      <x:c r="F12" s="92"/>
      <x:c r="G12" s="92"/>
      <x:c r="H12" s="92"/>
    </x:row>
    <x:row r="13">
      <x:c r="A13" s="96" t="str">
        <x:v>Total records identified</x:v>
      </x:c>
      <x:c r="B13" s="96" t="n">
        <x:f>SUM(B4:B10)</x:f>
        <x:v>0</x:v>
      </x:c>
      <x:c r="C13" s="96"/>
      <x:c r="D13" s="96" t="str">
        <x:v>No persistent memory</x:v>
      </x:c>
      <x:c r="E13" s="96"/>
      <x:c r="F13" s="96"/>
      <x:c r="G13" s="119" t="str">
        <x:v>Check</x:v>
      </x:c>
      <x:c r="H13" s="119" t="str">
        <x:v>Result</x:v>
      </x:c>
    </x:row>
    <x:row r="14">
      <x:c r="A14" s="96" t="str">
        <x:v>Duplicates removed</x:v>
      </x:c>
      <x:c r="B14" s="96"/>
      <x:c r="C14" s="96"/>
      <x:c r="D14" s="96" t="str">
        <x:v>No security/forensic relevance</x:v>
      </x:c>
      <x:c r="E14" s="96"/>
      <x:c r="F14" s="96"/>
      <x:c r="G14" s="96" t="str">
        <x:v>Exclusion reasons total</x:v>
      </x:c>
      <x:c r="H14" s="96" t="n">
        <x:f>SUM(E13:E20)</x:f>
        <x:v>0</x:v>
      </x:c>
    </x:row>
    <x:row r="15">
      <x:c r="A15" s="96" t="str">
        <x:v>Records after deduplication</x:v>
      </x:c>
      <x:c r="B15" s="96" t="n">
        <x:f>B13-B14</x:f>
        <x:v>0</x:v>
      </x:c>
      <x:c r="C15" s="96"/>
      <x:c r="D15" s="96" t="str">
        <x:v>Generic RAG only</x:v>
      </x:c>
      <x:c r="E15" s="96"/>
      <x:c r="F15" s="96"/>
      <x:c r="G15" s="96" t="str">
        <x:v>Should equal full-text exclusions</x:v>
      </x:c>
      <x:c r="H15" s="96" t="n">
        <x:f>B20</x:f>
        <x:v>0</x:v>
      </x:c>
    </x:row>
    <x:row r="16">
      <x:c r="A16" s="96" t="str">
        <x:v>Title/abstract records excluded</x:v>
      </x:c>
      <x:c r="B16" s="96"/>
      <x:c r="C16" s="96"/>
      <x:c r="D16" s="96" t="str">
        <x:v>Duplicate version</x:v>
      </x:c>
      <x:c r="E16" s="96"/>
      <x:c r="F16" s="96"/>
      <x:c r="G16" s="96" t="str">
        <x:v>Difference</x:v>
      </x:c>
      <x:c r="H16" s="96" t="n">
        <x:f>H14-H15</x:f>
        <x:v>0</x:v>
      </x:c>
    </x:row>
    <x:row r="17">
      <x:c r="A17" s="96" t="str">
        <x:v>Full texts sought</x:v>
      </x:c>
      <x:c r="B17" s="96" t="n">
        <x:f>B15-B16</x:f>
        <x:v>0</x:v>
      </x:c>
      <x:c r="C17" s="96"/>
      <x:c r="D17" s="96" t="str">
        <x:v>No full text</x:v>
      </x:c>
      <x:c r="E17" s="96"/>
      <x:c r="F17" s="96"/>
      <x:c r="G17" s="96" t="str">
        <x:v>Status</x:v>
      </x:c>
      <x:c r="H17" s="96" t="str">
        <x:f>IF(H16=0,"OK","CHECK")</x:f>
        <x:v>OK</x:v>
      </x:c>
    </x:row>
    <x:row r="18">
      <x:c r="A18" s="96" t="str">
        <x:v>Full texts not retrieved</x:v>
      </x:c>
      <x:c r="B18" s="96"/>
      <x:c r="C18" s="96"/>
      <x:c r="D18" s="96" t="str">
        <x:v>Not research evidence</x:v>
      </x:c>
      <x:c r="E18" s="96"/>
      <x:c r="F18" s="96"/>
      <x:c r="G18" s="96"/>
      <x:c r="H18" s="96"/>
    </x:row>
    <x:row r="19">
      <x:c r="A19" s="96" t="str">
        <x:v>Full texts assessed</x:v>
      </x:c>
      <x:c r="B19" s="96" t="n">
        <x:f>B17-B18</x:f>
        <x:v>0</x:v>
      </x:c>
      <x:c r="C19" s="96"/>
      <x:c r="D19" s="96" t="str">
        <x:v>Outside cut-off</x:v>
      </x:c>
      <x:c r="E19" s="96"/>
      <x:c r="F19" s="96"/>
      <x:c r="G19" s="96"/>
      <x:c r="H19" s="96"/>
    </x:row>
    <x:row r="20">
      <x:c r="A20" s="96" t="str">
        <x:v>Full-text exclusions</x:v>
      </x:c>
      <x:c r="B20" s="96"/>
      <x:c r="C20" s="96"/>
      <x:c r="D20" s="96" t="str">
        <x:v>Other</x:v>
      </x:c>
      <x:c r="E20" s="96"/>
      <x:c r="F20" s="96"/>
      <x:c r="G20" s="96"/>
      <x:c r="H20" s="96"/>
    </x:row>
    <x:row r="21">
      <x:c r="A21" s="96" t="str">
        <x:v>Primary studies included</x:v>
      </x:c>
      <x:c r="B21" s="96" t="n">
        <x:f>B19-B20</x:f>
        <x:v>0</x:v>
      </x:c>
      <x:c r="C21" s="96"/>
      <x:c r="D21" s="96"/>
      <x:c r="E21" s="96"/>
      <x:c r="F21" s="96"/>
      <x:c r="G21" s="96"/>
      <x:c r="H21" s="96"/>
    </x:row>
    <x:row r="22">
      <x:c r="A22" s="96" t="str">
        <x:v>Surveys/background included separately</x:v>
      </x:c>
      <x:c r="B22" s="96"/>
      <x:c r="C22" s="96"/>
      <x:c r="D22" s="96"/>
      <x:c r="E22" s="96"/>
      <x:c r="F22" s="96"/>
      <x:c r="G22" s="96"/>
      <x:c r="H22" s="96"/>
    </x:row>
    <x:row r="23">
      <x:c r="A23" s="96" t="str">
        <x:v>Total records in final evidence map</x:v>
      </x:c>
      <x:c r="B23" s="96" t="n">
        <x:f>B21+B22</x:f>
        <x:v>0</x:v>
      </x:c>
      <x:c r="C23" s="96"/>
      <x:c r="D23" s="96"/>
      <x:c r="E23" s="96"/>
      <x:c r="F23" s="96"/>
      <x:c r="G23" s="96"/>
      <x:c r="H23" s="96"/>
    </x:row>
    <x:row r="24">
      <x:c r="A24" s="96"/>
      <x:c r="B24" s="96"/>
      <x:c r="C24" s="96"/>
      <x:c r="D24" s="96"/>
      <x:c r="E24" s="96"/>
      <x:c r="F24" s="96"/>
      <x:c r="G24" s="96"/>
      <x:c r="H24" s="96"/>
    </x:row>
    <x:row r="25">
      <x:c r="A25" s="96"/>
      <x:c r="B25" s="96"/>
      <x:c r="C25" s="96"/>
      <x:c r="D25" s="96"/>
      <x:c r="E25" s="96"/>
      <x:c r="F25" s="96"/>
      <x:c r="G25" s="96"/>
      <x:c r="H25" s="96"/>
    </x:row>
  </x:sheetData>
  <x:mergeCells>
    <x:mergeCell ref="A1:H1"/>
    <x:mergeCell ref="D12:H12"/>
  </x:mergeCells>
  <x:conditionalFormatting sqref="H17:H17">
    <x:cfRule type="expression" dxfId="6" priority="1">
      <x:formula>H17="CHECK"</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30" hidden="0" customWidth="1"/>
    <x:col min="2" max="2" width="14" hidden="0" customWidth="1"/>
    <x:col min="4" max="4" width="22" hidden="0" customWidth="1"/>
    <x:col min="5" max="5" width="12" hidden="0" customWidth="1"/>
    <x:col min="7" max="7" width="12" hidden="0" customWidth="1"/>
    <x:col min="8" max="8" width="16" hidden="0" customWidth="1"/>
    <x:col min="10" max="10" width="20" hidden="0" customWidth="1"/>
    <x:col min="11" max="11" width="12" hidden="0" customWidth="1"/>
  </x:cols>
  <x:sheetData>
    <x:row r="1">
      <x:c r="A1" s="125" t="str">
        <x:v>Persistent-Memory Forensics Survey Dashboard</x:v>
      </x:c>
      <x:c r="B1" s="125"/>
      <x:c r="C1" s="125"/>
      <x:c r="D1" s="125"/>
      <x:c r="E1" s="125"/>
      <x:c r="F1" s="125"/>
      <x:c r="G1" s="125"/>
      <x:c r="H1" s="125"/>
      <x:c r="I1" s="125"/>
      <x:c r="J1" s="125"/>
      <x:c r="K1" s="125"/>
      <x:c r="L1" s="125"/>
    </x:row>
    <x:row r="3">
      <x:c r="A3" s="78" t="str">
        <x:v>KPI</x:v>
      </x:c>
      <x:c r="B3" s="78" t="str">
        <x:v>Value</x:v>
      </x:c>
      <x:c r="C3" s="96"/>
      <x:c r="D3" s="78" t="str">
        <x:v>Primary evidence group</x:v>
      </x:c>
      <x:c r="E3" s="78" t="str">
        <x:v>Count</x:v>
      </x:c>
      <x:c r="F3" s="96"/>
      <x:c r="G3" s="78" t="str">
        <x:v>Year</x:v>
      </x:c>
      <x:c r="H3" s="78" t="str">
        <x:v>Primary studies</x:v>
      </x:c>
      <x:c r="I3" s="96"/>
      <x:c r="J3" s="78" t="str">
        <x:v>Publication status</x:v>
      </x:c>
      <x:c r="K3" s="78" t="str">
        <x:v>Count</x:v>
      </x:c>
    </x:row>
    <x:row r="4">
      <x:c r="A4" s="96" t="str">
        <x:v>Verified evidence records</x:v>
      </x:c>
      <x:c r="B4" s="96" t="n">
        <x:v>82</x:v>
      </x:c>
      <x:c r="C4" s="96"/>
      <x:c r="D4" s="96" t="str">
        <x:v>Attack</x:v>
      </x:c>
      <x:c r="E4" s="96" t="n">
        <x:v>24</x:v>
      </x:c>
      <x:c r="F4" s="96"/>
      <x:c r="G4" s="96" t="n">
        <x:v>2024</x:v>
      </x:c>
      <x:c r="H4" s="96" t="n">
        <x:v>6</x:v>
      </x:c>
      <x:c r="I4" s="96"/>
      <x:c r="J4" s="96" t="str">
        <x:v>Peer-reviewed</x:v>
      </x:c>
      <x:c r="K4" s="96" t="n">
        <x:v>19</x:v>
      </x:c>
    </x:row>
    <x:row r="5">
      <x:c r="A5" s="96" t="str">
        <x:v>Primary studies</x:v>
      </x:c>
      <x:c r="B5" s="96" t="n">
        <x:v>58</x:v>
      </x:c>
      <x:c r="C5" s="96"/>
      <x:c r="D5" s="96" t="str">
        <x:v>Defense</x:v>
      </x:c>
      <x:c r="E5" s="96" t="n">
        <x:v>21</x:v>
      </x:c>
      <x:c r="F5" s="96"/>
      <x:c r="G5" s="96" t="n">
        <x:v>2025</x:v>
      </x:c>
      <x:c r="H5" s="96" t="n">
        <x:v>22</x:v>
      </x:c>
      <x:c r="I5" s="96"/>
      <x:c r="J5" s="96" t="str">
        <x:v>Preprint</x:v>
      </x:c>
      <x:c r="K5" s="96" t="n">
        <x:v>39</x:v>
      </x:c>
    </x:row>
    <x:row r="6">
      <x:c r="A6" s="96" t="str">
        <x:v>Attack studies</x:v>
      </x:c>
      <x:c r="B6" s="96" t="n">
        <x:v>24</x:v>
      </x:c>
      <x:c r="C6" s="96"/>
      <x:c r="D6" s="96" t="str">
        <x:v>Benchmark</x:v>
      </x:c>
      <x:c r="E6" s="96" t="n">
        <x:v>11</x:v>
      </x:c>
      <x:c r="F6" s="96"/>
      <x:c r="G6" s="96" t="n">
        <x:v>2026</x:v>
      </x:c>
      <x:c r="H6" s="96" t="n">
        <x:v>30</x:v>
      </x:c>
      <x:c r="I6" s="96"/>
      <x:c r="J6" s="96"/>
      <x:c r="K6" s="96"/>
    </x:row>
    <x:row r="7">
      <x:c r="A7" s="96" t="str">
        <x:v>Defence studies</x:v>
      </x:c>
      <x:c r="B7" s="96" t="n">
        <x:v>21</x:v>
      </x:c>
      <x:c r="C7" s="96"/>
      <x:c r="D7" s="96" t="str">
        <x:v>Provenance/System</x:v>
      </x:c>
      <x:c r="E7" s="96" t="n">
        <x:v>2</x:v>
      </x:c>
      <x:c r="F7" s="96"/>
      <x:c r="G7" s="96"/>
      <x:c r="H7" s="96"/>
      <x:c r="I7" s="96"/>
      <x:c r="J7" s="96"/>
      <x:c r="K7" s="96"/>
    </x:row>
    <x:row r="8">
      <x:c r="A8" s="96" t="str">
        <x:v>Benchmarks</x:v>
      </x:c>
      <x:c r="B8" s="96" t="n">
        <x:v>11</x:v>
      </x:c>
      <x:c r="C8" s="96"/>
      <x:c r="D8" s="96"/>
      <x:c r="E8" s="96"/>
      <x:c r="F8" s="96"/>
      <x:c r="G8" s="96"/>
      <x:c r="H8" s="96"/>
      <x:c r="I8" s="96"/>
      <x:c r="J8" s="96"/>
      <x:c r="K8" s="96"/>
    </x:row>
    <x:row r="9">
      <x:c r="A9" s="96" t="str">
        <x:v>Provenance/system studies</x:v>
      </x:c>
      <x:c r="B9" s="96" t="n">
        <x:v>2</x:v>
      </x:c>
      <x:c r="C9" s="96"/>
      <x:c r="D9" s="96"/>
      <x:c r="E9" s="96"/>
      <x:c r="F9" s="96"/>
      <x:c r="G9" s="96"/>
      <x:c r="H9" s="96"/>
      <x:c r="I9" s="96"/>
      <x:c r="J9" s="96"/>
      <x:c r="K9" s="96"/>
    </x:row>
    <x:row r="10">
      <x:c r="A10" s="96" t="str">
        <x:v>Peer-reviewed primary</x:v>
      </x:c>
      <x:c r="B10" s="96" t="n">
        <x:v>19</x:v>
      </x:c>
      <x:c r="C10" s="96"/>
      <x:c r="D10" s="96"/>
      <x:c r="E10" s="96"/>
      <x:c r="F10" s="96"/>
      <x:c r="G10" s="96"/>
      <x:c r="H10" s="96"/>
      <x:c r="I10" s="96"/>
      <x:c r="J10" s="96"/>
      <x:c r="K10" s="96"/>
    </x:row>
    <x:row r="11">
      <x:c r="A11" s="96" t="str">
        <x:v>Preprint primary</x:v>
      </x:c>
      <x:c r="B11" s="96" t="n">
        <x:v>39</x:v>
      </x:c>
      <x:c r="C11" s="96"/>
      <x:c r="D11" s="96"/>
      <x:c r="E11" s="96"/>
      <x:c r="F11" s="96"/>
      <x:c r="G11" s="96"/>
      <x:c r="H11" s="96"/>
      <x:c r="I11" s="96"/>
      <x:c r="J11" s="96"/>
      <x:c r="K11" s="96"/>
    </x:row>
    <x:row r="12">
      <x:c r="A12" s="96" t="str">
        <x:v>PDFs downloaded</x:v>
      </x:c>
      <x:c r="B12" s="96" t="n">
        <x:f>COUNTIF('Screening Tracker'!M5:M86,"Downloaded")</x:f>
        <x:v>75</x:v>
      </x:c>
      <x:c r="C12" s="96"/>
      <x:c r="D12" s="96"/>
      <x:c r="E12" s="96"/>
      <x:c r="F12" s="96"/>
      <x:c r="G12" s="96"/>
      <x:c r="H12" s="96"/>
      <x:c r="I12" s="96"/>
      <x:c r="J12" s="96"/>
      <x:c r="K12" s="96"/>
    </x:row>
    <x:row r="13">
      <x:c r="A13" s="96" t="str">
        <x:v>T/A included</x:v>
      </x:c>
      <x:c r="B13" s="96" t="n">
        <x:f>COUNTIF('Screening Tracker'!K5:K86,"Include")</x:f>
        <x:v>0</x:v>
      </x:c>
      <x:c r="C13" s="96"/>
      <x:c r="D13" s="96"/>
      <x:c r="E13" s="96"/>
      <x:c r="F13" s="96"/>
      <x:c r="G13" s="96"/>
      <x:c r="H13" s="96"/>
      <x:c r="I13" s="96"/>
      <x:c r="J13" s="96"/>
      <x:c r="K13" s="96"/>
    </x:row>
    <x:row r="14">
      <x:c r="A14" s="96" t="str">
        <x:v>Final included</x:v>
      </x:c>
      <x:c r="B14" s="96" t="n">
        <x:f>COUNTIF('Screening Tracker'!Q5:Q86,"Include")</x:f>
        <x:v>0</x:v>
      </x:c>
      <x:c r="C14" s="96"/>
      <x:c r="D14" s="96"/>
      <x:c r="E14" s="96"/>
      <x:c r="F14" s="96"/>
      <x:c r="G14" s="96"/>
      <x:c r="H14" s="96"/>
      <x:c r="I14" s="96"/>
      <x:c r="J14" s="96"/>
      <x:c r="K14" s="96"/>
    </x:row>
    <x:row r="15">
      <x:c r="A15" s="96" t="str">
        <x:v>Extraction complete</x:v>
      </x:c>
      <x:c r="B15" s="96" t="n">
        <x:f>COUNTIF('Data Extraction'!AG5:AG62,"Complete")</x:f>
        <x:v>0</x:v>
      </x:c>
      <x:c r="C15" s="96"/>
      <x:c r="D15" s="96"/>
      <x:c r="E15" s="96"/>
      <x:c r="F15" s="96"/>
      <x:c r="G15" s="96"/>
      <x:c r="H15" s="96"/>
      <x:c r="I15" s="96"/>
      <x:c r="J15" s="96"/>
      <x:c r="K15" s="96"/>
    </x:row>
    <x:row r="16">
      <x:c r="A16" s="96" t="str">
        <x:v>QA complete</x:v>
      </x:c>
      <x:c r="B16" s="96" t="n">
        <x:f>COUNTIF('QA Assessment'!P5:P62,"Complete")</x:f>
        <x:v>0</x:v>
      </x:c>
      <x:c r="C16" s="96"/>
      <x:c r="D16" s="96"/>
      <x:c r="E16" s="96"/>
      <x:c r="F16" s="96"/>
      <x:c r="G16" s="96"/>
      <x:c r="H16" s="96"/>
      <x:c r="I16" s="96"/>
      <x:c r="J16" s="96"/>
      <x:c r="K16" s="96"/>
    </x:row>
    <x:row r="17">
      <x:c r="A17" s="96"/>
      <x:c r="B17" s="96"/>
      <x:c r="C17" s="96"/>
      <x:c r="D17" s="96"/>
      <x:c r="E17" s="96"/>
      <x:c r="F17" s="96"/>
      <x:c r="G17" s="96"/>
      <x:c r="H17" s="96"/>
      <x:c r="I17" s="96"/>
      <x:c r="J17" s="96"/>
      <x:c r="K17" s="96"/>
    </x:row>
    <x:row r="18">
      <x:c r="A18" s="177" t="str">
        <x:v>Uploaded PDFs logged</x:v>
      </x:c>
      <x:c r="B18" s="169" t="n">
        <x:v>75</x:v>
      </x:c>
    </x:row>
    <x:row r="19">
      <x:c r="A19" s="177" t="str">
        <x:v>Core include candidates uploaded</x:v>
      </x:c>
      <x:c r="B19" s="169" t="n">
        <x:v>39</x:v>
      </x:c>
    </x:row>
    <x:row r="20">
      <x:c r="A20" s="177" t="str">
        <x:v>Adjacent/background PDFs</x:v>
      </x:c>
      <x:c r="B20" s="169" t="n">
        <x:v>36</x:v>
      </x:c>
    </x:row>
    <x:row r="21">
      <x:c r="A21" s="177" t="str">
        <x:v>Incomplete downloads</x:v>
      </x:c>
      <x:c r="B21" s="169" t="n">
        <x:v>1</x:v>
      </x:c>
    </x:row>
    <x:row r="22">
      <x:c r="A22" s="177" t="str">
        <x:v>Current upload batch</x:v>
      </x:c>
      <x:c r="B22" s="169" t="n">
        <x:v>7</x:v>
      </x:c>
    </x:row>
    <x:row r="23">
      <x:c r="A23" s="177" t="str">
        <x:v>Batch 7 PDFs logged</x:v>
      </x:c>
      <x:c r="B23" t="n">
        <x:v>8</x:v>
      </x:c>
    </x:row>
    <x:row r="24">
      <x:c r="A24" s="177" t="str">
        <x:v>Candidate corpus PDFs remaining</x:v>
      </x:c>
      <x:c r="B24" t="n">
        <x:v>7</x:v>
      </x:c>
    </x:row>
  </x:sheetData>
  <x:mergeCells>
    <x:mergeCell ref="A1:L1"/>
  </x:mergeCells>
  <x:pageMargins left="0.7" right="0.7" top="0.75" bottom="0.75" header="0.3" footer="0.3"/>
  <x:drawing xmlns:r="http://schemas.openxmlformats.org/officeDocument/2006/relationships" r:id="Ra28edeb258cb4191"/>
</x:worksheet>
</file>

<file path=xl/worksheets/sheet14.xml><?xml version="1.0" encoding="utf-8"?>
<x:worksheet xmlns:x="http://schemas.openxmlformats.org/spreadsheetml/2006/main">
  <x:sheetFormatPr defaultRowHeight="15"/>
  <x:cols>
    <x:col min="1" max="1" width="8" hidden="0" customWidth="1"/>
    <x:col min="2" max="2" width="9" hidden="0" customWidth="1"/>
    <x:col min="3" max="3" width="30" hidden="0" customWidth="1"/>
    <x:col min="4" max="4" width="42" hidden="0" customWidth="1"/>
    <x:col min="5" max="5" width="24" hidden="0" customWidth="1"/>
    <x:col min="6" max="6" width="8" hidden="0" customWidth="1"/>
    <x:col min="7" max="7" width="26" hidden="0" customWidth="1"/>
    <x:col min="8" max="8" width="20" hidden="0" customWidth="1"/>
    <x:col min="9" max="9" width="18" hidden="0" customWidth="1"/>
    <x:col min="10" max="10" width="48" hidden="0" customWidth="1"/>
    <x:col min="11" max="11" width="20" hidden="0" customWidth="1"/>
    <x:col min="12" max="12" width="36" hidden="0" customWidth="1"/>
    <x:col min="13" max="13" width="16" hidden="0" customWidth="1"/>
    <x:col min="14" max="14" width="16" hidden="0" customWidth="1"/>
    <x:col min="15" max="15" width="20" hidden="0" customWidth="1"/>
    <x:col min="16" max="16" width="42" hidden="0" customWidth="1"/>
    <x:col min="17" max="17" width="14" hidden="0" customWidth="1"/>
  </x:cols>
  <x:sheetData>
    <x:row r="1">
      <x:c r="A1" s="159" t="str">
        <x:v>Uploaded PDF Intake and Classification Database</x:v>
      </x:c>
      <x:c r="B1" s="159"/>
      <x:c r="C1" s="159"/>
      <x:c r="D1" s="159"/>
      <x:c r="E1" s="159"/>
      <x:c r="F1" s="159"/>
      <x:c r="G1" s="159"/>
      <x:c r="H1" s="159"/>
      <x:c r="I1" s="159"/>
      <x:c r="J1" s="159"/>
      <x:c r="K1" s="159"/>
      <x:c r="L1" s="159"/>
      <x:c r="M1" s="159"/>
      <x:c r="N1" s="159"/>
      <x:c r="O1" s="159"/>
      <x:c r="P1" s="159"/>
      <x:c r="Q1" s="159"/>
    </x:row>
    <x:row r="2">
      <x:c r="A2" s="162" t="str">
        <x:v>Each upload batch is verified, matched to the candidate corpus where possible, and classified as core evidence, adjacent evidence, background, or unusable.</x:v>
      </x:c>
      <x:c r="B2" s="162"/>
      <x:c r="C2" s="162"/>
      <x:c r="D2" s="162"/>
      <x:c r="E2" s="162"/>
      <x:c r="F2" s="162"/>
      <x:c r="G2" s="162"/>
      <x:c r="H2" s="162"/>
      <x:c r="I2" s="162"/>
      <x:c r="J2" s="162"/>
      <x:c r="K2" s="162"/>
      <x:c r="L2" s="162"/>
      <x:c r="M2" s="162"/>
      <x:c r="N2" s="162"/>
      <x:c r="O2" s="162"/>
      <x:c r="P2" s="162"/>
      <x:c r="Q2" s="162"/>
    </x:row>
    <x:row r="4">
      <x:c r="A4" s="167" t="str">
        <x:v>Batch</x:v>
      </x:c>
      <x:c r="B4" s="167" t="str">
        <x:v>Study ID</x:v>
      </x:c>
      <x:c r="C4" s="167" t="str">
        <x:v>Uploaded filename</x:v>
      </x:c>
      <x:c r="D4" s="167" t="str">
        <x:v>Verified title</x:v>
      </x:c>
      <x:c r="E4" s="167" t="str">
        <x:v>First author / organisation</x:v>
      </x:c>
      <x:c r="F4" s="167" t="str">
        <x:v>Year</x:v>
      </x:c>
      <x:c r="G4" s="167" t="str">
        <x:v>Publication / source</x:v>
      </x:c>
      <x:c r="H4" s="167" t="str">
        <x:v>Document role</x:v>
      </x:c>
      <x:c r="I4" s="167" t="str">
        <x:v>Core survey eligibility</x:v>
      </x:c>
      <x:c r="J4" s="167" t="str">
        <x:v>Reason / relevance</x:v>
      </x:c>
      <x:c r="K4" s="167" t="str">
        <x:v>PDF status</x:v>
      </x:c>
      <x:c r="L4" s="167" t="str">
        <x:v>Local sandbox path</x:v>
      </x:c>
      <x:c r="M4" s="167" t="str">
        <x:v>Matched corpus record</x:v>
      </x:c>
      <x:c r="N4" s="167" t="str">
        <x:v>Metadata verified</x:v>
      </x:c>
      <x:c r="O4" s="167" t="str">
        <x:v>Full-text extraction status</x:v>
      </x:c>
      <x:c r="P4" s="167" t="str">
        <x:v>Notes</x:v>
      </x:c>
      <x:c r="Q4" s="167" t="str">
        <x:v>Upload date</x:v>
      </x:c>
    </x:row>
    <x:row r="5">
      <x:c r="A5" s="96" t="n">
        <x:v>1</x:v>
      </x:c>
      <x:c r="B5" s="96" t="n">
        <x:v>80</x:v>
      </x:c>
      <x:c r="C5" s="96" t="str">
        <x:v>2503.13657v3.pdf</x:v>
      </x:c>
      <x:c r="D5" s="96" t="str">
        <x:v>Why Do Multi-Agent LLM Systems Fail?</x:v>
      </x:c>
      <x:c r="E5" s="96" t="str">
        <x:v>Mert Cemri et al.</x:v>
      </x:c>
      <x:c r="F5" s="96" t="n">
        <x:v>2025</x:v>
      </x:c>
      <x:c r="G5" s="96" t="str">
        <x:v>NeurIPS 2025 Datasets and Benchmarks</x:v>
      </x:c>
      <x:c r="H5" s="96" t="str">
        <x:v>Foundation / adjacent</x:v>
      </x:c>
      <x:c r="I5" s="96" t="str">
        <x:v>Background</x:v>
      </x:c>
      <x:c r="J5" s="96" t="str">
        <x:v>Multi-agent failure taxonomy and cascading failure evidence; useful for blast-radius and propagation discussion, but not a persistent-memory primary study.</x:v>
      </x:c>
      <x:c r="K5" s="96" t="str">
        <x:v>Complete PDF</x:v>
      </x:c>
      <x:c r="L5" s="96" t="str">
        <x:v>/mnt/data/2503.13657v3.pdf</x:v>
      </x:c>
      <x:c r="M5" s="96" t="str">
        <x:v>Yes</x:v>
      </x:c>
      <x:c r="N5" s="96" t="str">
        <x:v>Yes</x:v>
      </x:c>
      <x:c r="O5" s="96" t="str">
        <x:v>Not started</x:v>
      </x:c>
      <x:c r="P5" s="96" t="str">
        <x:v>Matches corpus ID 80 (MAST).</x:v>
      </x:c>
      <x:c r="Q5" s="96" t="str">
        <x:v>2026-07-16</x:v>
      </x:c>
    </x:row>
    <x:row r="6">
      <x:c r="A6" s="96" t="n">
        <x:v>1</x:v>
      </x:c>
      <x:c r="B6" s="96" t="n">
        <x:v>79</x:v>
      </x:c>
      <x:c r="C6" s="96" t="str">
        <x:v>360051.360056.pdf</x:v>
      </x:c>
      <x:c r="D6" s="96" t="str">
        <x:v>A Lattice Model of Secure Information Flow</x:v>
      </x:c>
      <x:c r="E6" s="96" t="str">
        <x:v>Dorothy E. Denning</x:v>
      </x:c>
      <x:c r="F6" s="96" t="n">
        <x:v>1976</x:v>
      </x:c>
      <x:c r="G6" s="96" t="str">
        <x:v>Communications of the ACM 19(5)</x:v>
      </x:c>
      <x:c r="H6" s="96" t="str">
        <x:v>Foundation</x:v>
      </x:c>
      <x:c r="I6" s="96" t="str">
        <x:v>Background</x:v>
      </x:c>
      <x:c r="J6" s="96" t="str">
        <x:v>Foundational information-flow model supporting isolation, authority, and least-privilege arguments.</x:v>
      </x:c>
      <x:c r="K6" s="96" t="str">
        <x:v>Complete PDF</x:v>
      </x:c>
      <x:c r="L6" s="96" t="str">
        <x:v>/mnt/data/360051.360056.pdf</x:v>
      </x:c>
      <x:c r="M6" s="96" t="str">
        <x:v>Yes</x:v>
      </x:c>
      <x:c r="N6" s="96" t="str">
        <x:v>Yes</x:v>
      </x:c>
      <x:c r="O6" s="96" t="str">
        <x:v>Not required</x:v>
      </x:c>
      <x:c r="P6" s="96" t="str">
        <x:v>Matches corpus ID 79.</x:v>
      </x:c>
      <x:c r="Q6" s="96" t="str">
        <x:v>2026-07-16</x:v>
      </x:c>
    </x:row>
    <x:row r="7">
      <x:c r="A7" s="96" t="n">
        <x:v>1</x:v>
      </x:c>
      <x:c r="B7" s="96" t="n">
        <x:v>78</x:v>
      </x:c>
      <x:c r="C7" s="96" t="str">
        <x:v>A_Comparison_of_Commercial_and_Military.pdf</x:v>
      </x:c>
      <x:c r="D7" s="96" t="str">
        <x:v>A Comparison of Commercial and Military Computer Security Policies</x:v>
      </x:c>
      <x:c r="E7" s="96" t="str">
        <x:v>David D. Clark and David R. Wilson</x:v>
      </x:c>
      <x:c r="F7" s="96" t="n">
        <x:v>1987</x:v>
      </x:c>
      <x:c r="G7" s="96" t="str">
        <x:v>IEEE Symposium on Security and Privacy</x:v>
      </x:c>
      <x:c r="H7" s="96" t="str">
        <x:v>Foundation</x:v>
      </x:c>
      <x:c r="I7" s="96" t="str">
        <x:v>Background</x:v>
      </x:c>
      <x:c r="J7" s="96" t="str">
        <x:v>Foundational integrity-policy paper supporting the distinction between byte integrity, semantic validity, and well-formed transformation.</x:v>
      </x:c>
      <x:c r="K7" s="96" t="str">
        <x:v>Complete PDF</x:v>
      </x:c>
      <x:c r="L7" s="96" t="str">
        <x:v>/mnt/data/A_Comparison_of_Commercial_and_Military.pdf</x:v>
      </x:c>
      <x:c r="M7" s="96" t="str">
        <x:v>Yes</x:v>
      </x:c>
      <x:c r="N7" s="96" t="str">
        <x:v>Yes</x:v>
      </x:c>
      <x:c r="O7" s="96" t="str">
        <x:v>Not required</x:v>
      </x:c>
      <x:c r="P7" s="96" t="str">
        <x:v>Matches corpus ID 78.</x:v>
      </x:c>
      <x:c r="Q7" s="96" t="str">
        <x:v>2026-07-16</x:v>
      </x:c>
    </x:row>
    <x:row r="8">
      <x:c r="A8" s="96" t="n">
        <x:v>1</x:v>
      </x:c>
      <x:c r="B8" s="96" t="n">
        <x:v>77</x:v>
      </x:c>
      <x:c r="C8" s="96" t="str">
        <x:v>crosby.pdf</x:v>
      </x:c>
      <x:c r="D8" s="96" t="str">
        <x:v>Efficient Data Structures for Tamper-Evident Logging</x:v>
      </x:c>
      <x:c r="E8" s="96" t="str">
        <x:v>Scott A. Crosby and Dan S. Wallach</x:v>
      </x:c>
      <x:c r="F8" s="96" t="n">
        <x:v>2009</x:v>
      </x:c>
      <x:c r="G8" s="96" t="str">
        <x:v>USENIX Security Symposium</x:v>
      </x:c>
      <x:c r="H8" s="96" t="str">
        <x:v>Foundation</x:v>
      </x:c>
      <x:c r="I8" s="96" t="str">
        <x:v>Background</x:v>
      </x:c>
      <x:c r="J8" s="96" t="str">
        <x:v>Supports the independent append-only evidence plane and efficient proofs of event inclusion and log consistency.</x:v>
      </x:c>
      <x:c r="K8" s="96" t="str">
        <x:v>Complete PDF</x:v>
      </x:c>
      <x:c r="L8" s="96" t="str">
        <x:v>/mnt/data/crosby.pdf</x:v>
      </x:c>
      <x:c r="M8" s="96" t="str">
        <x:v>Yes</x:v>
      </x:c>
      <x:c r="N8" s="96" t="str">
        <x:v>Yes</x:v>
      </x:c>
      <x:c r="O8" s="96" t="str">
        <x:v>Not required</x:v>
      </x:c>
      <x:c r="P8" s="96" t="str">
        <x:v>Matches corpus ID 77.</x:v>
      </x:c>
      <x:c r="Q8" s="96" t="str">
        <x:v>2026-07-16</x:v>
      </x:c>
    </x:row>
    <x:row r="9">
      <x:c r="A9" s="96" t="n">
        <x:v>1</x:v>
      </x:c>
      <x:c r="B9" s="96"/>
      <x:c r="C9" s="96" t="str">
        <x:v>Unconfirmed 619514.crdownload</x:v>
      </x:c>
      <x:c r="D9" s="96" t="str">
        <x:v>Incomplete browser download</x:v>
      </x:c>
      <x:c r="E9" s="96" t="str">
        <x:v>Unknown</x:v>
      </x:c>
      <x:c r="F9" s="96"/>
      <x:c r="G9" s="96" t="str">
        <x:v>Unknown</x:v>
      </x:c>
      <x:c r="H9" s="96" t="str">
        <x:v>Unusable file</x:v>
      </x:c>
      <x:c r="I9" s="96" t="str">
        <x:v>Exclude</x:v>
      </x:c>
      <x:c r="J9" s="96" t="str">
        <x:v>The .crdownload file is incomplete and cannot be treated as a paper until the completed PDF is uploaded.</x:v>
      </x:c>
      <x:c r="K9" s="96" t="str">
        <x:v>Incomplete / unusable</x:v>
      </x:c>
      <x:c r="L9" s="96" t="str">
        <x:v>/mnt/data/Unconfirmed 619514.crdownload</x:v>
      </x:c>
      <x:c r="M9" s="96" t="str">
        <x:v>No</x:v>
      </x:c>
      <x:c r="N9" s="96" t="str">
        <x:v>No</x:v>
      </x:c>
      <x:c r="O9" s="96" t="str">
        <x:v>Blocked</x:v>
      </x:c>
      <x:c r="P9" s="96" t="str">
        <x:v>Please re-upload the completed PDF; do not include in counts.</x:v>
      </x:c>
      <x:c r="Q9" s="96" t="str">
        <x:v>2026-07-16</x:v>
      </x:c>
    </x:row>
    <x:row r="10">
      <x:c r="A10" s="96" t="n">
        <x:v>1</x:v>
      </x:c>
      <x:c r="B10" s="96" t="n">
        <x:v>71</x:v>
      </x:c>
      <x:c r="C10" s="96" t="str">
        <x:v>nistspecialpublication800-86.pdf</x:v>
      </x:c>
      <x:c r="D10" s="96" t="str">
        <x:v>Guide to Integrating Forensic Techniques into Incident Response</x:v>
      </x:c>
      <x:c r="E10" s="96" t="str">
        <x:v>Karen Kent et al.</x:v>
      </x:c>
      <x:c r="F10" s="96" t="n">
        <x:v>2006</x:v>
      </x:c>
      <x:c r="G10" s="96" t="str">
        <x:v>NIST Special Publication 800-86</x:v>
      </x:c>
      <x:c r="H10" s="96" t="str">
        <x:v>Standard / foundation</x:v>
      </x:c>
      <x:c r="I10" s="96" t="str">
        <x:v>Background</x:v>
      </x:c>
      <x:c r="J10" s="96" t="str">
        <x:v>Provides the forensic process foundation: collection, examination, analysis, and reporting, adapted in the survey investigation workflow.</x:v>
      </x:c>
      <x:c r="K10" s="96" t="str">
        <x:v>Complete PDF</x:v>
      </x:c>
      <x:c r="L10" s="96" t="str">
        <x:v>/mnt/data/nistspecialpublication800-86.pdf</x:v>
      </x:c>
      <x:c r="M10" s="96" t="str">
        <x:v>Yes</x:v>
      </x:c>
      <x:c r="N10" s="96" t="str">
        <x:v>Yes</x:v>
      </x:c>
      <x:c r="O10" s="96" t="str">
        <x:v>Not required</x:v>
      </x:c>
      <x:c r="P10" s="96" t="str">
        <x:v>Matches corpus ID 71.</x:v>
      </x:c>
      <x:c r="Q10" s="96" t="str">
        <x:v>2026-07-16</x:v>
      </x:c>
    </x:row>
    <x:row r="11">
      <x:c r="A11" s="96" t="n">
        <x:v>1</x:v>
      </x:c>
      <x:c r="B11" s="96" t="n">
        <x:v>70</x:v>
      </x:c>
      <x:c r="C11" s="96" t="str">
        <x:v>PROV-DM_ The PROV Data Model.pdf</x:v>
      </x:c>
      <x:c r="D11" s="96" t="str">
        <x:v>PROV-DM: The PROV Data Model</x:v>
      </x:c>
      <x:c r="E11" s="96" t="str">
        <x:v>Luc Moreau and Paolo Missier (eds.)</x:v>
      </x:c>
      <x:c r="F11" s="96" t="n">
        <x:v>2013</x:v>
      </x:c>
      <x:c r="G11" s="96" t="str">
        <x:v>W3C Recommendation</x:v>
      </x:c>
      <x:c r="H11" s="96" t="str">
        <x:v>Standard / foundation</x:v>
      </x:c>
      <x:c r="I11" s="96" t="str">
        <x:v>Background</x:v>
      </x:c>
      <x:c r="J11" s="96" t="str">
        <x:v>Core provenance vocabulary for entities, activities, agents, derivation, responsibility, and provenance bundles; maps directly to MEIRC.</x:v>
      </x:c>
      <x:c r="K11" s="96" t="str">
        <x:v>Complete PDF</x:v>
      </x:c>
      <x:c r="L11" s="96" t="str">
        <x:v>/mnt/data/PROV-DM_ The PROV Data Model.pdf</x:v>
      </x:c>
      <x:c r="M11" s="96" t="str">
        <x:v>Yes</x:v>
      </x:c>
      <x:c r="N11" s="96" t="str">
        <x:v>Yes</x:v>
      </x:c>
      <x:c r="O11" s="96" t="str">
        <x:v>Not required</x:v>
      </x:c>
      <x:c r="P11" s="96" t="str">
        <x:v>Matches corpus ID 70.</x:v>
      </x:c>
      <x:c r="Q11" s="96" t="str">
        <x:v>2026-07-16</x:v>
      </x:c>
    </x:row>
    <x:row r="12">
      <x:c r="A12" s="96" t="n">
        <x:v>1</x:v>
      </x:c>
      <x:c r="B12" s="96" t="n">
        <x:v>69</x:v>
      </x:c>
      <x:c r="C12" s="96" t="str">
        <x:v>424_TOFU_A_Task_of_Fictitious_.pdf</x:v>
      </x:c>
      <x:c r="D12" s="96" t="str">
        <x:v>TOFU: A Task of Fictitious Unlearning for LLMs</x:v>
      </x:c>
      <x:c r="E12" s="96" t="str">
        <x:v>Pratyush Maini et al.</x:v>
      </x:c>
      <x:c r="F12" s="96" t="n">
        <x:v>2024</x:v>
      </x:c>
      <x:c r="G12" s="96" t="str">
        <x:v>COLM 2024</x:v>
      </x:c>
      <x:c r="H12" s="96" t="str">
        <x:v>Foundation / benchmark</x:v>
      </x:c>
      <x:c r="I12" s="96" t="str">
        <x:v>Adjacent</x:v>
      </x:c>
      <x:c r="J12" s="96" t="str">
        <x:v>Model-level unlearning benchmark; useful only as a conceptual foundation for verified forgetting, not as a persistent-agent-memory primary study.</x:v>
      </x:c>
      <x:c r="K12" s="96" t="str">
        <x:v>Complete PDF</x:v>
      </x:c>
      <x:c r="L12" s="96" t="str">
        <x:v>/mnt/data/424_TOFU_A_Task_of_Fictitious_.pdf</x:v>
      </x:c>
      <x:c r="M12" s="96" t="str">
        <x:v>Yes</x:v>
      </x:c>
      <x:c r="N12" s="96" t="str">
        <x:v>Yes</x:v>
      </x:c>
      <x:c r="O12" s="96" t="str">
        <x:v>Not started</x:v>
      </x:c>
      <x:c r="P12" s="96" t="str">
        <x:v>Matches corpus ID 69; keep outside primary corpus unless used only for recovery foundations.</x:v>
      </x:c>
      <x:c r="Q12" s="96" t="str">
        <x:v>2026-07-16</x:v>
      </x:c>
    </x:row>
    <x:row r="13">
      <x:c r="A13" s="96" t="n">
        <x:v>1</x:v>
      </x:c>
      <x:c r="B13" s="96" t="n">
        <x:v>68</x:v>
      </x:c>
      <x:c r="C13" s="96" t="str">
        <x:v>1912.03817v3.pdf</x:v>
      </x:c>
      <x:c r="D13" s="96" t="str">
        <x:v>Machine Unlearning</x:v>
      </x:c>
      <x:c r="E13" s="96" t="str">
        <x:v>Lucas Bourtoule et al.</x:v>
      </x:c>
      <x:c r="F13" s="96" t="n">
        <x:v>2021</x:v>
      </x:c>
      <x:c r="G13" s="96" t="str">
        <x:v>IEEE Symposium on Security and Privacy</x:v>
      </x:c>
      <x:c r="H13" s="96" t="str">
        <x:v>Foundation</x:v>
      </x:c>
      <x:c r="I13" s="96" t="str">
        <x:v>Adjacent</x:v>
      </x:c>
      <x:c r="J13" s="96" t="str">
        <x:v>Foundational SISA unlearning work showing that removing influence differs from deleting a record; not persistent-memory-agent evidence.</x:v>
      </x:c>
      <x:c r="K13" s="96" t="str">
        <x:v>Complete PDF</x:v>
      </x:c>
      <x:c r="L13" s="96" t="str">
        <x:v>/mnt/data/1912.03817v3.pdf</x:v>
      </x:c>
      <x:c r="M13" s="96" t="str">
        <x:v>Yes</x:v>
      </x:c>
      <x:c r="N13" s="96" t="str">
        <x:v>Yes</x:v>
      </x:c>
      <x:c r="O13" s="96" t="str">
        <x:v>Not started</x:v>
      </x:c>
      <x:c r="P13" s="96" t="str">
        <x:v>Matches corpus ID 68.</x:v>
      </x:c>
      <x:c r="Q13" s="96" t="str">
        <x:v>2026-07-16</x:v>
      </x:c>
    </x:row>
    <x:row r="14">
      <x:c r="A14" s="96" t="n">
        <x:v>1</x:v>
      </x:c>
      <x:c r="B14" s="96" t="n">
        <x:v>67</x:v>
      </x:c>
      <x:c r="C14" s="96" t="str">
        <x:v>2602.16901v1.pdf</x:v>
      </x:c>
      <x:c r="D14" s="96" t="str">
        <x:v>AgentLAB: Benchmarking LLM Agents against Long-Horizon Attacks</x:v>
      </x:c>
      <x:c r="E14" s="96" t="str">
        <x:v>Tanqiu Jiang et al.</x:v>
      </x:c>
      <x:c r="F14" s="96" t="n">
        <x:v>2026</x:v>
      </x:c>
      <x:c r="G14" s="96" t="str">
        <x:v>arXiv preprint</x:v>
      </x:c>
      <x:c r="H14" s="96" t="str">
        <x:v>Benchmark</x:v>
      </x:c>
      <x:c r="I14" s="96" t="str">
        <x:v>Include candidate</x:v>
      </x:c>
      <x:c r="J14" s="96" t="str">
        <x:v>Includes long-horizon memory poisoning in persistent-memory environments; relevant benchmark evidence for temporal attacks and memory-to-action consequences.</x:v>
      </x:c>
      <x:c r="K14" s="96" t="str">
        <x:v>Complete PDF</x:v>
      </x:c>
      <x:c r="L14" s="96" t="str">
        <x:v>/mnt/data/2602.16901v1.pdf</x:v>
      </x:c>
      <x:c r="M14" s="96" t="str">
        <x:v>Yes</x:v>
      </x:c>
      <x:c r="N14" s="96" t="str">
        <x:v>Yes</x:v>
      </x:c>
      <x:c r="O14" s="96" t="str">
        <x:v>Ready for extraction</x:v>
      </x:c>
      <x:c r="P14" s="96" t="str">
        <x:v>Matches corpus ID 67.</x:v>
      </x:c>
      <x:c r="Q14" s="96" t="str">
        <x:v>2026-07-16</x:v>
      </x:c>
    </x:row>
    <x:row r="15">
      <x:c r="A15" s="96" t="n">
        <x:v>1</x:v>
      </x:c>
      <x:c r="B15" s="96" t="n">
        <x:v>66</x:v>
      </x:c>
      <x:c r="C15" s="96" t="str">
        <x:v>2607.01071v2.pdf</x:v>
      </x:c>
      <x:c r="D15" s="96" t="str">
        <x:v>MemSyco-Bench: Benchmarking Sycophancy in Agent Memory</x:v>
      </x:c>
      <x:c r="E15" s="96" t="str">
        <x:v>Zhishang Xiang et al.</x:v>
      </x:c>
      <x:c r="F15" s="96" t="n">
        <x:v>2026</x:v>
      </x:c>
      <x:c r="G15" s="96" t="str">
        <x:v>arXiv preprint / work in progress</x:v>
      </x:c>
      <x:c r="H15" s="96" t="str">
        <x:v>Benchmark</x:v>
      </x:c>
      <x:c r="I15" s="96" t="str">
        <x:v>Include candidate</x:v>
      </x:c>
      <x:c r="J15" s="96" t="str">
        <x:v>Directly evaluates how retrieved persistent memories improperly influence downstream reasoning and decisions; relevant to semantic validity and causal influence.</x:v>
      </x:c>
      <x:c r="K15" s="96" t="str">
        <x:v>Complete PDF</x:v>
      </x:c>
      <x:c r="L15" s="96" t="str">
        <x:v>/mnt/data/2607.01071v2.pdf</x:v>
      </x:c>
      <x:c r="M15" s="96" t="str">
        <x:v>Yes</x:v>
      </x:c>
      <x:c r="N15" s="96" t="str">
        <x:v>Yes</x:v>
      </x:c>
      <x:c r="O15" s="96" t="str">
        <x:v>Ready for extraction</x:v>
      </x:c>
      <x:c r="P15" s="96" t="str">
        <x:v>Matches corpus ID 66; published before the 13 July 2026 evidence cut-off (2 July 2026).</x:v>
      </x:c>
      <x:c r="Q15" s="96" t="str">
        <x:v>2026-07-16</x:v>
      </x:c>
    </x:row>
    <x:row r="16">
      <x:c r="A16" s="96" t="n">
        <x:v>1</x:v>
      </x:c>
      <x:c r="B16" s="96" t="n">
        <x:v>65</x:v>
      </x:c>
      <x:c r="C16" s="96" t="str">
        <x:v>7260_Agent_Security_Bench_ASB_.pdf</x:v>
      </x:c>
      <x:c r="D16" s="96" t="str">
        <x:v>Agent Security Bench (ASB): Formalizing and Benchmarking Attacks and Defenses in LLM-Based Agents</x:v>
      </x:c>
      <x:c r="E16" s="96" t="str">
        <x:v>Hanrong Zhang et al.</x:v>
      </x:c>
      <x:c r="F16" s="96" t="n">
        <x:v>2025</x:v>
      </x:c>
      <x:c r="G16" s="96" t="str">
        <x:v>ICLR 2025</x:v>
      </x:c>
      <x:c r="H16" s="96" t="str">
        <x:v>Benchmark</x:v>
      </x:c>
      <x:c r="I16" s="96" t="str">
        <x:v>Include candidate</x:v>
      </x:c>
      <x:c r="J16" s="96" t="str">
        <x:v>Benchmarks memory poisoning alongside other agent attacks and defences; relevant as broad comparative benchmark but not forensic-specific.</x:v>
      </x:c>
      <x:c r="K16" s="96" t="str">
        <x:v>Complete PDF</x:v>
      </x:c>
      <x:c r="L16" s="96" t="str">
        <x:v>/mnt/data/7260_Agent_Security_Bench_ASB_.pdf</x:v>
      </x:c>
      <x:c r="M16" s="96" t="str">
        <x:v>Yes</x:v>
      </x:c>
      <x:c r="N16" s="96" t="str">
        <x:v>Yes</x:v>
      </x:c>
      <x:c r="O16" s="96" t="str">
        <x:v>Ready for extraction</x:v>
      </x:c>
      <x:c r="P16" s="96" t="str">
        <x:v>Matches corpus ID 65.</x:v>
      </x:c>
      <x:c r="Q16" s="96" t="str">
        <x:v>2026-07-16</x:v>
      </x:c>
    </x:row>
    <x:row r="17">
      <x:c r="A17" s="96" t="n">
        <x:v>2</x:v>
      </x:c>
      <x:c r="B17" s="96" t="n">
        <x:v>64</x:v>
      </x:c>
      <x:c r="C17" s="96" t="str">
        <x:v>2024.findings-acl.624.pdf</x:v>
      </x:c>
      <x:c r="D17" s="96" t="str">
        <x:v>INJECAGENT: Benchmarking Indirect Prompt Injections in Tool-Integrated Large Language Model Agents</x:v>
      </x:c>
      <x:c r="E17" s="96" t="str">
        <x:v>Qiusi Zhan et al.</x:v>
      </x:c>
      <x:c r="F17" s="96" t="n">
        <x:v>2024</x:v>
      </x:c>
      <x:c r="G17" s="96" t="str">
        <x:v>Findings of ACL 2024</x:v>
      </x:c>
      <x:c r="H17" s="96" t="str">
        <x:v>Benchmark / adjacent</x:v>
      </x:c>
      <x:c r="I17" s="96" t="str">
        <x:v>Adjacent</x:v>
      </x:c>
      <x:c r="J17" s="96" t="str">
        <x:v>A strong benchmark for indirect prompt injection and tool-mediated harm, but it evaluates single-session external-content attacks rather than persistent agent memory. Retain as a baseline for distinguishing transient injection from cross-session memory compromise.</x:v>
      </x:c>
      <x:c r="K17" s="96" t="str">
        <x:v>Complete PDF</x:v>
      </x:c>
      <x:c r="L17" s="96" t="str">
        <x:v>/mnt/data/2024.findings-acl.624.pdf</x:v>
      </x:c>
      <x:c r="M17" s="96" t="str">
        <x:v>Yes</x:v>
      </x:c>
      <x:c r="N17" s="96" t="str">
        <x:v>Yes</x:v>
      </x:c>
      <x:c r="O17" s="96" t="str">
        <x:v>Not required</x:v>
      </x:c>
      <x:c r="P17" s="96" t="str">
        <x:v>Matches corpus ID 64. Use in background and benchmark comparison, not the core persistent-memory forensic corpus.</x:v>
      </x:c>
      <x:c r="Q17" s="96" t="str">
        <x:v>2026-07-16</x:v>
      </x:c>
    </x:row>
    <x:row r="18">
      <x:c r="A18" s="96" t="n">
        <x:v>2</x:v>
      </x:c>
      <x:c r="B18" s="96" t="n">
        <x:v>63</x:v>
      </x:c>
      <x:c r="C18" s="96" t="str">
        <x:v>2406.13352v3.pdf</x:v>
      </x:c>
      <x:c r="D18" s="96" t="str">
        <x:v>AgentDojo: A Dynamic Environment to Evaluate Prompt Injection Attacks and Defenses for LLM Agents</x:v>
      </x:c>
      <x:c r="E18" s="96" t="str">
        <x:v>Edoardo Debenedetti et al.</x:v>
      </x:c>
      <x:c r="F18" s="96" t="n">
        <x:v>2024</x:v>
      </x:c>
      <x:c r="G18" s="96" t="str">
        <x:v>NeurIPS 2024 Datasets and Benchmarks</x:v>
      </x:c>
      <x:c r="H18" s="96" t="str">
        <x:v>Benchmark / adjacent</x:v>
      </x:c>
      <x:c r="I18" s="96" t="str">
        <x:v>Adjacent</x:v>
      </x:c>
      <x:c r="J18" s="96" t="str">
        <x:v>Provides realistic stateful tool-use tasks, attacks, defenses, and utility-security metrics, but is not designed around cross-session persistent memory. Useful as a transient-agent security baseline.</x:v>
      </x:c>
      <x:c r="K18" s="96" t="str">
        <x:v>Complete PDF</x:v>
      </x:c>
      <x:c r="L18" s="96" t="str">
        <x:v>/mnt/data/2406.13352v3.pdf</x:v>
      </x:c>
      <x:c r="M18" s="96" t="str">
        <x:v>Yes</x:v>
      </x:c>
      <x:c r="N18" s="96" t="str">
        <x:v>Yes</x:v>
      </x:c>
      <x:c r="O18" s="96" t="str">
        <x:v>Not required</x:v>
      </x:c>
      <x:c r="P18" s="96" t="str">
        <x:v>Matches corpus ID 63. Keep outside the core primary corpus unless used only for benchmark contrast.</x:v>
      </x:c>
      <x:c r="Q18" s="96" t="str">
        <x:v>2026-07-16</x:v>
      </x:c>
    </x:row>
    <x:row r="19">
      <x:c r="A19" s="96" t="n">
        <x:v>2</x:v>
      </x:c>
      <x:c r="B19" s="96" t="n">
        <x:v>62</x:v>
      </x:c>
      <x:c r="C19" s="96" t="str">
        <x:v>2602.01146v2.pdf</x:v>
      </x:c>
      <x:c r="D19" s="96" t="str">
        <x:v>PersistBench: When Should Long-Term Memories Be Forgotten by LLMs?</x:v>
      </x:c>
      <x:c r="E19" s="96" t="str">
        <x:v>Sidharth Pulipaka et al.</x:v>
      </x:c>
      <x:c r="F19" s="96" t="n">
        <x:v>2026</x:v>
      </x:c>
      <x:c r="G19" s="96" t="str">
        <x:v>ICML 2026 / PMLR 306</x:v>
      </x:c>
      <x:c r="H19" s="96" t="str">
        <x:v>Benchmark</x:v>
      </x:c>
      <x:c r="I19" s="96" t="str">
        <x:v>Include candidate</x:v>
      </x:c>
      <x:c r="J19" s="96" t="str">
        <x:v>Directly evaluates persistent-memory safety through cross-domain leakage, memory-induced sycophancy, and beneficial-memory controls. Highly relevant to semantic validity, temporal scope, and forgetting decisions.</x:v>
      </x:c>
      <x:c r="K19" s="96" t="str">
        <x:v>Complete PDF</x:v>
      </x:c>
      <x:c r="L19" s="96" t="str">
        <x:v>/mnt/data/2602.01146v2.pdf</x:v>
      </x:c>
      <x:c r="M19" s="96" t="str">
        <x:v>Yes</x:v>
      </x:c>
      <x:c r="N19" s="96" t="str">
        <x:v>Yes</x:v>
      </x:c>
      <x:c r="O19" s="96" t="str">
        <x:v>Ready for extraction</x:v>
      </x:c>
      <x:c r="P19" s="96" t="str">
        <x:v>Matches corpus ID 62. Uploaded version identifies the paper as an ICML 2026 proceedings paper; update final bibliography from the official PMLR record.</x:v>
      </x:c>
      <x:c r="Q19" s="96" t="str">
        <x:v>2026-07-16</x:v>
      </x:c>
    </x:row>
    <x:row r="20">
      <x:c r="A20" s="96" t="n">
        <x:v>2</x:v>
      </x:c>
      <x:c r="B20" s="96" t="n">
        <x:v>61</x:v>
      </x:c>
      <x:c r="C20" s="96" t="str">
        <x:v>2511.14937v1.pdf</x:v>
      </x:c>
      <x:c r="D20" s="96" t="str">
        <x:v>CIMemories: A Compositional Benchmark for Contextual Integrity of Persistent Memory in LLMs</x:v>
      </x:c>
      <x:c r="E20" s="96" t="str">
        <x:v>Niloofar Mireshghallah et al.</x:v>
      </x:c>
      <x:c r="F20" s="96" t="n">
        <x:v>2025</x:v>
      </x:c>
      <x:c r="G20" s="96" t="str">
        <x:v>arXiv preprint</x:v>
      </x:c>
      <x:c r="H20" s="96" t="str">
        <x:v>Benchmark</x:v>
      </x:c>
      <x:c r="I20" s="96" t="str">
        <x:v>Include candidate</x:v>
      </x:c>
      <x:c r="J20" s="96" t="str">
        <x:v>Direct persistent-memory privacy benchmark measuring context-dependent information-flow violations, cumulative leakage across tasks/runs, and utility trade-offs.</x:v>
      </x:c>
      <x:c r="K20" s="96" t="str">
        <x:v>Complete PDF</x:v>
      </x:c>
      <x:c r="L20" s="96" t="str">
        <x:v>/mnt/data/2511.14937v1.pdf</x:v>
      </x:c>
      <x:c r="M20" s="96" t="str">
        <x:v>Yes</x:v>
      </x:c>
      <x:c r="N20" s="96" t="str">
        <x:v>Yes</x:v>
      </x:c>
      <x:c r="O20" s="96" t="str">
        <x:v>Ready for extraction</x:v>
      </x:c>
      <x:c r="P20" s="96" t="str">
        <x:v>Matches corpus ID 61. Treat the uploaded version as a preprint unless an official ICLR 2026 record is verified separately.</x:v>
      </x:c>
      <x:c r="Q20" s="96" t="str">
        <x:v>2026-07-16</x:v>
      </x:c>
    </x:row>
    <x:row r="21">
      <x:c r="A21" s="96" t="n">
        <x:v>2</x:v>
      </x:c>
      <x:c r="B21" s="96" t="n">
        <x:v>60</x:v>
      </x:c>
      <x:c r="C21" s="96" t="str">
        <x:v>2606.18829v1.pdf</x:v>
      </x:c>
      <x:c r="D21" s="96" t="str">
        <x:v>GATEMEM: Benchmarking Memory Governance in Multi-Principal Shared-Memory Agents</x:v>
      </x:c>
      <x:c r="E21" s="96" t="str">
        <x:v>Zhe Ren et al.</x:v>
      </x:c>
      <x:c r="F21" s="96" t="n">
        <x:v>2026</x:v>
      </x:c>
      <x:c r="G21" s="96" t="str">
        <x:v>arXiv preprint</x:v>
      </x:c>
      <x:c r="H21" s="96" t="str">
        <x:v>Benchmark</x:v>
      </x:c>
      <x:c r="I21" s="96" t="str">
        <x:v>Include candidate</x:v>
      </x:c>
      <x:c r="J21" s="96" t="str">
        <x:v>Directly evaluates shared persistent memory across multiple principals using utility, access control, and active forgetting. Central evidence for governance, blast radius, authority, and post-deletion non-recovery.</x:v>
      </x:c>
      <x:c r="K21" s="96" t="str">
        <x:v>Complete PDF</x:v>
      </x:c>
      <x:c r="L21" s="96" t="str">
        <x:v>/mnt/data/2606.18829v1.pdf</x:v>
      </x:c>
      <x:c r="M21" s="96" t="str">
        <x:v>Yes</x:v>
      </x:c>
      <x:c r="N21" s="96" t="str">
        <x:v>Yes</x:v>
      </x:c>
      <x:c r="O21" s="96" t="str">
        <x:v>Ready for extraction</x:v>
      </x:c>
      <x:c r="P21" s="96" t="str">
        <x:v>Matches corpus ID 60.</x:v>
      </x:c>
      <x:c r="Q21" s="96" t="str">
        <x:v>2026-07-16</x:v>
      </x:c>
    </x:row>
    <x:row r="22">
      <x:c r="A22" s="96" t="n">
        <x:v>2</x:v>
      </x:c>
      <x:c r="B22" s="96" t="n">
        <x:v>59</x:v>
      </x:c>
      <x:c r="C22" s="96" t="str">
        <x:v>2026.acl-long.370.pdf</x:v>
      </x:c>
      <x:c r="D22" s="96" t="str">
        <x:v>Mem2ActBench: A Benchmark for Evaluating Long-Term Memory Utilization in Task-Oriented Autonomous Agents</x:v>
      </x:c>
      <x:c r="E22" s="96" t="str">
        <x:v>Yiting Shen et al.</x:v>
      </x:c>
      <x:c r="F22" s="96" t="n">
        <x:v>2026</x:v>
      </x:c>
      <x:c r="G22" s="96" t="str">
        <x:v>ACL 2026 Long Papers</x:v>
      </x:c>
      <x:c r="H22" s="96" t="str">
        <x:v>Benchmark</x:v>
      </x:c>
      <x:c r="I22" s="96" t="str">
        <x:v>Include candidate</x:v>
      </x:c>
      <x:c r="J22" s="96" t="str">
        <x:v>Evaluates whether persistent memory is actively translated into tool calls and grounded parameters. Essential for the memory-to-action link underlying causal reconstruction.</x:v>
      </x:c>
      <x:c r="K22" s="96" t="str">
        <x:v>Complete PDF</x:v>
      </x:c>
      <x:c r="L22" s="96" t="str">
        <x:v>/mnt/data/2026.acl-long.370.pdf</x:v>
      </x:c>
      <x:c r="M22" s="96" t="str">
        <x:v>Yes</x:v>
      </x:c>
      <x:c r="N22" s="96" t="str">
        <x:v>Yes</x:v>
      </x:c>
      <x:c r="O22" s="96" t="str">
        <x:v>Ready for extraction</x:v>
      </x:c>
      <x:c r="P22" s="96" t="str">
        <x:v>Matches corpus ID 59.</x:v>
      </x:c>
      <x:c r="Q22" s="96" t="str">
        <x:v>2026-07-16</x:v>
      </x:c>
    </x:row>
    <x:row r="23">
      <x:c r="A23" s="96" t="n">
        <x:v>2</x:v>
      </x:c>
      <x:c r="B23" s="96" t="n">
        <x:v>58</x:v>
      </x:c>
      <x:c r="C23" s="96" t="str">
        <x:v>2025.findings-acl.989.pdf</x:v>
      </x:c>
      <x:c r="D23" s="96" t="str">
        <x:v>MemBench: Towards More Comprehensive Evaluation on the Memory of LLM-Based Agents</x:v>
      </x:c>
      <x:c r="E23" s="96" t="str">
        <x:v>Haoran Tan et al.</x:v>
      </x:c>
      <x:c r="F23" s="96" t="n">
        <x:v>2025</x:v>
      </x:c>
      <x:c r="G23" s="96" t="str">
        <x:v>Findings of ACL 2025</x:v>
      </x:c>
      <x:c r="H23" s="96" t="str">
        <x:v>Benchmark / capability</x:v>
      </x:c>
      <x:c r="I23" s="96" t="str">
        <x:v>Adjacent</x:v>
      </x:c>
      <x:c r="J23" s="96" t="str">
        <x:v>Evaluates factual and reflective memory across participation and observation scenarios. Useful as a capability benchmark substrate, but it does not directly evaluate security, forensics, or recovery.</x:v>
      </x:c>
      <x:c r="K23" s="96" t="str">
        <x:v>Complete PDF</x:v>
      </x:c>
      <x:c r="L23" s="96" t="str">
        <x:v>/mnt/data/2025.findings-acl.989.pdf</x:v>
      </x:c>
      <x:c r="M23" s="96" t="str">
        <x:v>Yes</x:v>
      </x:c>
      <x:c r="N23" s="96" t="str">
        <x:v>Yes</x:v>
      </x:c>
      <x:c r="O23" s="96" t="str">
        <x:v>Not required</x:v>
      </x:c>
      <x:c r="P23" s="96" t="str">
        <x:v>Matches corpus ID 58. Retain in the benchmark landscape rather than the core forensic-evidence synthesis.</x:v>
      </x:c>
      <x:c r="Q23" s="96" t="str">
        <x:v>2026-07-16</x:v>
      </x:c>
    </x:row>
    <x:row r="24">
      <x:c r="A24" s="96" t="n">
        <x:v>2</x:v>
      </x:c>
      <x:c r="B24" s="96" t="n">
        <x:v>57</x:v>
      </x:c>
      <x:c r="C24" s="96" t="str">
        <x:v>2410.10813v2.pdf</x:v>
      </x:c>
      <x:c r="D24" s="96" t="str">
        <x:v>LongMemEval: Benchmarking Chat Assistants on Long-Term Interactive Memory</x:v>
      </x:c>
      <x:c r="E24" s="96" t="str">
        <x:v>Di Wu et al.</x:v>
      </x:c>
      <x:c r="F24" s="96" t="n">
        <x:v>2025</x:v>
      </x:c>
      <x:c r="G24" s="96" t="str">
        <x:v>ICLR 2025</x:v>
      </x:c>
      <x:c r="H24" s="96" t="str">
        <x:v>Benchmark / capability</x:v>
      </x:c>
      <x:c r="I24" s="96" t="str">
        <x:v>Adjacent</x:v>
      </x:c>
      <x:c r="J24" s="96" t="str">
        <x:v>Foundational long-term memory benchmark covering extraction, multi-session reasoning, temporal reasoning, updates, and abstention. Useful for showing what capability benchmarks omit about forensic evidence and recovery.</x:v>
      </x:c>
      <x:c r="K24" s="96" t="str">
        <x:v>Complete PDF</x:v>
      </x:c>
      <x:c r="L24" s="96" t="str">
        <x:v>/mnt/data/2410.10813v2.pdf</x:v>
      </x:c>
      <x:c r="M24" s="96" t="str">
        <x:v>Yes</x:v>
      </x:c>
      <x:c r="N24" s="96" t="str">
        <x:v>Yes</x:v>
      </x:c>
      <x:c r="O24" s="96" t="str">
        <x:v>Not required</x:v>
      </x:c>
      <x:c r="P24" s="96" t="str">
        <x:v>Matches corpus ID 57.</x:v>
      </x:c>
      <x:c r="Q24" s="96" t="str">
        <x:v>2026-07-16</x:v>
      </x:c>
    </x:row>
    <x:row r="25">
      <x:c r="A25" s="96" t="n">
        <x:v>2</x:v>
      </x:c>
      <x:c r="B25" s="96" t="n">
        <x:v>56</x:v>
      </x:c>
      <x:c r="C25" s="96" t="str">
        <x:v>2410.15267v2.pdf</x:v>
      </x:c>
      <x:c r="D25" s="96" t="str">
        <x:v>When Machine Unlearning Meets Retrieval-Augmented Generation (RAG): Keep Secret or Forget Knowledge?</x:v>
      </x:c>
      <x:c r="E25" s="96" t="str">
        <x:v>Shang Wang et al.</x:v>
      </x:c>
      <x:c r="F25" s="96" t="n">
        <x:v>2025</x:v>
      </x:c>
      <x:c r="G25" s="96" t="str">
        <x:v>arXiv preprint</x:v>
      </x:c>
      <x:c r="H25" s="96" t="str">
        <x:v>Defense / adjacent</x:v>
      </x:c>
      <x:c r="I25" s="96" t="str">
        <x:v>Adjacent</x:v>
      </x:c>
      <x:c r="J25" s="96" t="str">
        <x:v>RAG-based behavioral unlearning is useful for recovery and reappearance discussions, but the paper primarily modifies a static knowledge base rather than an agent-written persistent memory system.</x:v>
      </x:c>
      <x:c r="K25" s="96" t="str">
        <x:v>Complete PDF</x:v>
      </x:c>
      <x:c r="L25" s="96" t="str">
        <x:v>/mnt/data/2410.15267v2.pdf</x:v>
      </x:c>
      <x:c r="M25" s="96" t="str">
        <x:v>Yes</x:v>
      </x:c>
      <x:c r="N25" s="96" t="str">
        <x:v>Yes</x:v>
      </x:c>
      <x:c r="O25" s="96" t="str">
        <x:v>Not required</x:v>
      </x:c>
      <x:c r="P25" s="96" t="str">
        <x:v>Matches corpus ID 56. Use as adjacent recovery literature, not a core persistent-memory-agent study.</x:v>
      </x:c>
      <x:c r="Q25" s="96" t="str">
        <x:v>2026-07-16</x:v>
      </x:c>
    </x:row>
    <x:row r="26">
      <x:c r="A26" s="96" t="n">
        <x:v>2</x:v>
      </x:c>
      <x:c r="B26" s="96" t="n">
        <x:v>55</x:v>
      </x:c>
      <x:c r="C26" s="96" t="str">
        <x:v>2602.17692v2.pdf</x:v>
      </x:c>
      <x:c r="D26" s="96" t="str">
        <x:v>Agentic Unlearning: When LLM Agent Meets Machine Unlearning</x:v>
      </x:c>
      <x:c r="E26" s="96" t="str">
        <x:v>Bin Wang et al.</x:v>
      </x:c>
      <x:c r="F26" s="96" t="n">
        <x:v>2026</x:v>
      </x:c>
      <x:c r="G26" s="96" t="str">
        <x:v>arXiv preprint</x:v>
      </x:c>
      <x:c r="H26" s="96" t="str">
        <x:v>Defense / recovery</x:v>
      </x:c>
      <x:c r="I26" s="96" t="str">
        <x:v>Include candidate</x:v>
      </x:c>
      <x:c r="J26" s="96" t="str">
        <x:v>Directly addresses persistent agent memory and parameter-memory backflow, proposing dependency-closure memory unlearning and synchronized recovery. Central to residual contamination and recontamination analysis.</x:v>
      </x:c>
      <x:c r="K26" s="96" t="str">
        <x:v>Complete PDF</x:v>
      </x:c>
      <x:c r="L26" s="96" t="str">
        <x:v>/mnt/data/2602.17692v2.pdf</x:v>
      </x:c>
      <x:c r="M26" s="96" t="str">
        <x:v>Yes</x:v>
      </x:c>
      <x:c r="N26" s="96" t="str">
        <x:v>Yes</x:v>
      </x:c>
      <x:c r="O26" s="96" t="str">
        <x:v>Ready for extraction</x:v>
      </x:c>
      <x:c r="P26" s="96" t="str">
        <x:v>Matches corpus ID 55.</x:v>
      </x:c>
      <x:c r="Q26" s="96" t="str">
        <x:v>2026-07-16</x:v>
      </x:c>
    </x:row>
    <x:row r="27">
      <x:c r="A27" s="96" t="n">
        <x:v>3</x:v>
      </x:c>
      <x:c r="B27" s="96" t="n">
        <x:v>54</x:v>
      </x:c>
      <x:c r="C27" s="96" t="str">
        <x:v>2605.03482v2.pdf</x:v>
      </x:c>
      <x:c r="D27" s="96" t="str">
        <x:v>MEMSAD: Gradient-Coupled Anomaly Detection for Memory Poisoning in Retrieval-Augmented Agents</x:v>
      </x:c>
      <x:c r="E27" s="96" t="str">
        <x:v>Ishrith Gowda</x:v>
      </x:c>
      <x:c r="F27" s="96" t="n">
        <x:v>2026</x:v>
      </x:c>
      <x:c r="G27" s="96" t="str">
        <x:v>arXiv preprint</x:v>
      </x:c>
      <x:c r="H27" s="96" t="str">
        <x:v>Defense</x:v>
      </x:c>
      <x:c r="I27" s="96" t="str">
        <x:v>Include candidate</x:v>
      </x:c>
      <x:c r="J27" s="96" t="str">
        <x:v>Directly formalizes poisoning of persistent external agent memory and proposes a calibrated anomaly detector with theoretical guarantees, online calibration, and real-system validation. Core defense evidence.</x:v>
      </x:c>
      <x:c r="K27" s="96" t="str">
        <x:v>Complete PDF</x:v>
      </x:c>
      <x:c r="L27" s="96" t="str">
        <x:v>/mnt/data/2605.03482v2.pdf</x:v>
      </x:c>
      <x:c r="M27" s="96" t="str">
        <x:v>Yes</x:v>
      </x:c>
      <x:c r="N27" s="96" t="str">
        <x:v>Yes</x:v>
      </x:c>
      <x:c r="O27" s="96" t="str">
        <x:v>Ready for extraction</x:v>
      </x:c>
      <x:c r="P27" s="96" t="str">
        <x:v>Matches corpus ID 54. Record formal guarantees, attack-access classes, detection metrics, and synonym-invariance limitation.</x:v>
      </x:c>
      <x:c r="Q27" s="96" t="str">
        <x:v>2026-07-16</x:v>
      </x:c>
    </x:row>
    <x:row r="28">
      <x:c r="A28" s="96" t="n">
        <x:v>3</x:v>
      </x:c>
      <x:c r="B28" s="96" t="n">
        <x:v>53</x:v>
      </x:c>
      <x:c r="C28" s="96" t="str">
        <x:v>2603.02240v1.pdf</x:v>
      </x:c>
      <x:c r="D28" s="96" t="str">
        <x:v>SuperLocalMemory: Privacy-Preserving Multi-Agent Memory with Bayesian Trust Defense Against Memory Poisoning</x:v>
      </x:c>
      <x:c r="E28" s="96" t="str">
        <x:v>Varun Pratap Bhardwaj</x:v>
      </x:c>
      <x:c r="F28" s="96" t="n">
        <x:v>2026</x:v>
      </x:c>
      <x:c r="G28" s="96" t="str">
        <x:v>arXiv preprint / under review</x:v>
      </x:c>
      <x:c r="H28" s="96" t="str">
        <x:v>Defense / system</x:v>
      </x:c>
      <x:c r="I28" s="96" t="str">
        <x:v>Include candidate</x:v>
      </x:c>
      <x:c r="J28" s="96" t="str">
        <x:v>Direct persistent multi-agent memory architecture with per-agent provenance, Bayesian trust scoring, local isolation, erasure support, and poisoning evaluation. Relevant to provenance, trust, and recovery.</x:v>
      </x:c>
      <x:c r="K28" s="96" t="str">
        <x:v>Complete PDF</x:v>
      </x:c>
      <x:c r="L28" s="96" t="str">
        <x:v>/mnt/data/2603.02240v1.pdf</x:v>
      </x:c>
      <x:c r="M28" s="96" t="str">
        <x:v>Yes</x:v>
      </x:c>
      <x:c r="N28" s="96" t="str">
        <x:v>Yes</x:v>
      </x:c>
      <x:c r="O28" s="96" t="str">
        <x:v>Ready for extraction</x:v>
      </x:c>
      <x:c r="P28" s="96" t="str">
        <x:v>Matches corpus ID 53. Treat production-attack claims cautiously and distinguish system evaluation from independently reproduced evidence.</x:v>
      </x:c>
      <x:c r="Q28" s="96" t="str">
        <x:v>2026-07-16</x:v>
      </x:c>
    </x:row>
    <x:row r="29">
      <x:c r="A29" s="96" t="n">
        <x:v>3</x:v>
      </x:c>
      <x:c r="B29" s="96" t="n">
        <x:v>52</x:v>
      </x:c>
      <x:c r="C29" s="96" t="str">
        <x:v>2504.21668v2.pdf</x:v>
      </x:c>
      <x:c r="D29" s="96" t="str">
        <x:v>Traceback of Poisoning Attacks to Retrieval-Augmented Generation</x:v>
      </x:c>
      <x:c r="E29" s="96" t="str">
        <x:v>Baolei Zhang et al.</x:v>
      </x:c>
      <x:c r="F29" s="96" t="n">
        <x:v>2025</x:v>
      </x:c>
      <x:c r="G29" s="96" t="str">
        <x:v>ACM Web Conference 2025</x:v>
      </x:c>
      <x:c r="H29" s="96" t="str">
        <x:v>Defense / traceback</x:v>
      </x:c>
      <x:c r="I29" s="96" t="str">
        <x:v>Adjacent</x:v>
      </x:c>
      <x:c r="J29" s="96" t="str">
        <x:v>Important post-hoc traceback method that identifies poisoned RAG texts, but it targets a static knowledge database rather than agent-written persistent memory. Use as a forensic-method anchor and comparator.</x:v>
      </x:c>
      <x:c r="K29" s="96" t="str">
        <x:v>Complete PDF</x:v>
      </x:c>
      <x:c r="L29" s="96" t="str">
        <x:v>/mnt/data/2504.21668v2.pdf</x:v>
      </x:c>
      <x:c r="M29" s="96" t="str">
        <x:v>Yes</x:v>
      </x:c>
      <x:c r="N29" s="96" t="str">
        <x:v>Yes</x:v>
      </x:c>
      <x:c r="O29" s="96" t="str">
        <x:v>Not required</x:v>
      </x:c>
      <x:c r="P29" s="96" t="str">
        <x:v>Matches corpus ID 52. DOI 10.1145/3696410.3714756.</x:v>
      </x:c>
      <x:c r="Q29" s="96" t="str">
        <x:v>2026-07-16</x:v>
      </x:c>
    </x:row>
    <x:row r="30">
      <x:c r="A30" s="96" t="n">
        <x:v>3</x:v>
      </x:c>
      <x:c r="B30" s="96" t="n">
        <x:v>51</x:v>
      </x:c>
      <x:c r="C30" s="96" t="str">
        <x:v>2508.08127v2.pdf</x:v>
      </x:c>
      <x:c r="D30" s="96" t="str">
        <x:v>BlindGuard: Safeguarding LLM-Based Multi-Agent Systems under Unknown Attacks</x:v>
      </x:c>
      <x:c r="E30" s="96" t="str">
        <x:v>Rui Miao et al.</x:v>
      </x:c>
      <x:c r="F30" s="96" t="n">
        <x:v>2026</x:v>
      </x:c>
      <x:c r="G30" s="96" t="str">
        <x:v>arXiv preprint</x:v>
      </x:c>
      <x:c r="H30" s="96" t="str">
        <x:v>Defense / multi-agent</x:v>
      </x:c>
      <x:c r="I30" s="96" t="str">
        <x:v>Adjacent</x:v>
      </x:c>
      <x:c r="J30" s="96" t="str">
        <x:v>Unsupervised graph anomaly detection for malicious-agent propagation, including memory-poisoning attack settings. Useful for blast-radius and contagion detection, but not a persistent-memory-specific system.</x:v>
      </x:c>
      <x:c r="K30" s="96" t="str">
        <x:v>Complete PDF</x:v>
      </x:c>
      <x:c r="L30" s="96" t="str">
        <x:v>/mnt/data/2508.08127v2.pdf</x:v>
      </x:c>
      <x:c r="M30" s="96" t="str">
        <x:v>Yes</x:v>
      </x:c>
      <x:c r="N30" s="96" t="str">
        <x:v>Yes</x:v>
      </x:c>
      <x:c r="O30" s="96" t="str">
        <x:v>Not required</x:v>
      </x:c>
      <x:c r="P30" s="96" t="str">
        <x:v>Matches corpus ID 51. Uploaded revision is dated April 2026; update year/status from the PDF.</x:v>
      </x:c>
      <x:c r="Q30" s="96" t="str">
        <x:v>2026-07-16</x:v>
      </x:c>
    </x:row>
    <x:row r="31">
      <x:c r="A31" s="96" t="n">
        <x:v>3</x:v>
      </x:c>
      <x:c r="B31" s="96" t="n">
        <x:v>50</x:v>
      </x:c>
      <x:c r="C31" s="96" t="str">
        <x:v>2505.18279v1.pdf</x:v>
      </x:c>
      <x:c r="D31" s="96" t="str">
        <x:v>Collaborative Memory: Multi-User Memory Sharing in LLM Agents with Dynamic Access Control</x:v>
      </x:c>
      <x:c r="E31" s="96" t="str">
        <x:v>Alireza Rezazadeh et al.</x:v>
      </x:c>
      <x:c r="F31" s="96" t="n">
        <x:v>2025</x:v>
      </x:c>
      <x:c r="G31" s="96" t="str">
        <x:v>arXiv preprint / under review</x:v>
      </x:c>
      <x:c r="H31" s="96" t="str">
        <x:v>Defense / governance</x:v>
      </x:c>
      <x:c r="I31" s="96" t="str">
        <x:v>Include candidate</x:v>
      </x:c>
      <x:c r="J31" s="96" t="str">
        <x:v>Direct persistent multi-user and multi-agent memory framework with private/shared tiers, immutable provenance, dynamic read/write policies, retrospective permission checks, and auditable memory operations.</x:v>
      </x:c>
      <x:c r="K31" s="96" t="str">
        <x:v>Complete PDF</x:v>
      </x:c>
      <x:c r="L31" s="96" t="str">
        <x:v>/mnt/data/2505.18279v1.pdf</x:v>
      </x:c>
      <x:c r="M31" s="96" t="str">
        <x:v>Yes</x:v>
      </x:c>
      <x:c r="N31" s="96" t="str">
        <x:v>Yes</x:v>
      </x:c>
      <x:c r="O31" s="96" t="str">
        <x:v>Ready for extraction</x:v>
      </x:c>
      <x:c r="P31" s="96" t="str">
        <x:v>Matches corpus ID 50. Core evidence for authority, provenance, temporal permissions, and shared-memory governance.</x:v>
      </x:c>
      <x:c r="Q31" s="96" t="str">
        <x:v>2026-07-16</x:v>
      </x:c>
    </x:row>
    <x:row r="32">
      <x:c r="A32" s="96" t="n">
        <x:v>3</x:v>
      </x:c>
      <x:c r="B32" s="96" t="n">
        <x:v>49</x:v>
      </x:c>
      <x:c r="C32" s="96" t="str">
        <x:v>2403.04960v2.pdf</x:v>
      </x:c>
      <x:c r="D32" s="96" t="str">
        <x:v>ISOLATEGPT: An Execution Isolation Architecture for LLM-Based Agentic Systems</x:v>
      </x:c>
      <x:c r="E32" s="96" t="str">
        <x:v>Yuhao Wu et al.</x:v>
      </x:c>
      <x:c r="F32" s="96" t="n">
        <x:v>2025</x:v>
      </x:c>
      <x:c r="G32" s="96" t="str">
        <x:v>NDSS 2025</x:v>
      </x:c>
      <x:c r="H32" s="96" t="str">
        <x:v>Defense / architecture</x:v>
      </x:c>
      <x:c r="I32" s="96" t="str">
        <x:v>Adjacent</x:v>
      </x:c>
      <x:c r="J32" s="96" t="str">
        <x:v>Strong execution-isolation and containment architecture for agent apps. It secures context and inter-app collaboration, but is not centred on persistent memory or post-incident reconstruction.</x:v>
      </x:c>
      <x:c r="K32" s="96" t="str">
        <x:v>Complete PDF</x:v>
      </x:c>
      <x:c r="L32" s="96" t="str">
        <x:v>/mnt/data/2403.04960v2.pdf</x:v>
      </x:c>
      <x:c r="M32" s="96" t="str">
        <x:v>Yes</x:v>
      </x:c>
      <x:c r="N32" s="96" t="str">
        <x:v>Yes</x:v>
      </x:c>
      <x:c r="O32" s="96" t="str">
        <x:v>Not required</x:v>
      </x:c>
      <x:c r="P32" s="96" t="str">
        <x:v>Matches corpus ID 49. Use for containment and isolation background.</x:v>
      </x:c>
      <x:c r="Q32" s="96" t="str">
        <x:v>2026-07-16</x:v>
      </x:c>
    </x:row>
    <x:row r="33">
      <x:c r="A33" s="96" t="n">
        <x:v>3</x:v>
      </x:c>
      <x:c r="B33" s="96" t="n">
        <x:v>48</x:v>
      </x:c>
      <x:c r="C33" s="96" t="str">
        <x:v>2504.11703v3.pdf</x:v>
      </x:c>
      <x:c r="D33" s="96" t="str">
        <x:v>Progent: Securing AI Agents with Privilege Control</x:v>
      </x:c>
      <x:c r="E33" s="96" t="str">
        <x:v>Tianneng Shi et al.</x:v>
      </x:c>
      <x:c r="F33" s="96" t="n">
        <x:v>2026</x:v>
      </x:c>
      <x:c r="G33" s="96" t="str">
        <x:v>arXiv preprint</x:v>
      </x:c>
      <x:c r="H33" s="96" t="str">
        <x:v>Defense / privilege control</x:v>
      </x:c>
      <x:c r="I33" s="96" t="str">
        <x:v>Adjacent</x:v>
      </x:c>
      <x:c r="J33" s="96" t="str">
        <x:v>Deterministic least-privilege enforcement over tool calls and arguments with monotonic confinement. Highly relevant to action-authority control, but not a persistent-memory-specific study.</x:v>
      </x:c>
      <x:c r="K33" s="96" t="str">
        <x:v>Complete PDF</x:v>
      </x:c>
      <x:c r="L33" s="96" t="str">
        <x:v>/mnt/data/2504.11703v3.pdf</x:v>
      </x:c>
      <x:c r="M33" s="96" t="str">
        <x:v>Yes</x:v>
      </x:c>
      <x:c r="N33" s="96" t="str">
        <x:v>Yes</x:v>
      </x:c>
      <x:c r="O33" s="96" t="str">
        <x:v>Not required</x:v>
      </x:c>
      <x:c r="P33" s="96" t="str">
        <x:v>Matches corpus ID 48. Uploaded revision is May 2026; update year/status accordingly.</x:v>
      </x:c>
      <x:c r="Q33" s="96" t="str">
        <x:v>2026-07-16</x:v>
      </x:c>
    </x:row>
    <x:row r="34">
      <x:c r="A34" s="96" t="n">
        <x:v>3</x:v>
      </x:c>
      <x:c r="B34" s="96" t="n">
        <x:v>47</x:v>
      </x:c>
      <x:c r="C34" s="96" t="str">
        <x:v>2505.23643v2.pdf</x:v>
      </x:c>
      <x:c r="D34" s="96" t="str">
        <x:v>Securing AI Agents with Information-Flow Control</x:v>
      </x:c>
      <x:c r="E34" s="96" t="str">
        <x:v>Manuel Costa et al.</x:v>
      </x:c>
      <x:c r="F34" s="96" t="n">
        <x:v>2025</x:v>
      </x:c>
      <x:c r="G34" s="96" t="str">
        <x:v>arXiv preprint</x:v>
      </x:c>
      <x:c r="H34" s="96" t="str">
        <x:v>Defense / information-flow control</x:v>
      </x:c>
      <x:c r="I34" s="96" t="str">
        <x:v>Adjacent</x:v>
      </x:c>
      <x:c r="J34" s="96" t="str">
        <x:v>Formal IFC model and FIDES planner provide deterministic integrity/confidentiality policies and policy traces. Relevant to authority and evidence design, but not focused on cross-session persistent memory.</x:v>
      </x:c>
      <x:c r="K34" s="96" t="str">
        <x:v>Complete PDF</x:v>
      </x:c>
      <x:c r="L34" s="96" t="str">
        <x:v>/mnt/data/2505.23643v2.pdf</x:v>
      </x:c>
      <x:c r="M34" s="96" t="str">
        <x:v>Yes</x:v>
      </x:c>
      <x:c r="N34" s="96" t="str">
        <x:v>Yes</x:v>
      </x:c>
      <x:c r="O34" s="96" t="str">
        <x:v>Not required</x:v>
      </x:c>
      <x:c r="P34" s="96" t="str">
        <x:v>Matches corpus ID 47. Use as a system-level control and provenance foundation.</x:v>
      </x:c>
      <x:c r="Q34" s="96" t="str">
        <x:v>2026-07-16</x:v>
      </x:c>
    </x:row>
    <x:row r="35">
      <x:c r="A35" s="96" t="n">
        <x:v>3</x:v>
      </x:c>
      <x:c r="B35" s="96" t="n">
        <x:v>46</x:v>
      </x:c>
      <x:c r="C35" s="96" t="str">
        <x:v>2503.18813v2.pdf</x:v>
      </x:c>
      <x:c r="D35" s="96" t="str">
        <x:v>Defeating Prompt Injections by Design</x:v>
      </x:c>
      <x:c r="E35" s="96" t="str">
        <x:v>Edoardo Debenedetti et al.</x:v>
      </x:c>
      <x:c r="F35" s="96" t="n">
        <x:v>2025</x:v>
      </x:c>
      <x:c r="G35" s="96" t="str">
        <x:v>arXiv preprint</x:v>
      </x:c>
      <x:c r="H35" s="96" t="str">
        <x:v>Defense / capability control</x:v>
      </x:c>
      <x:c r="I35" s="96" t="str">
        <x:v>Adjacent</x:v>
      </x:c>
      <x:c r="J35" s="96" t="str">
        <x:v>CaMeL separates trusted control flow from untrusted data flow and tracks provenance/capabilities. Valuable for memory-to-action policy design, but evaluated on transient prompt injection rather than persistent memory.</x:v>
      </x:c>
      <x:c r="K35" s="96" t="str">
        <x:v>Complete PDF</x:v>
      </x:c>
      <x:c r="L35" s="96" t="str">
        <x:v>/mnt/data/2503.18813v2.pdf</x:v>
      </x:c>
      <x:c r="M35" s="96" t="str">
        <x:v>Yes</x:v>
      </x:c>
      <x:c r="N35" s="96" t="str">
        <x:v>Yes</x:v>
      </x:c>
      <x:c r="O35" s="96" t="str">
        <x:v>Not required</x:v>
      </x:c>
      <x:c r="P35" s="96" t="str">
        <x:v>Matches corpus ID 46. Use as adjacent prevention and evidentiary-control literature.</x:v>
      </x:c>
      <x:c r="Q35" s="96" t="str">
        <x:v>2026-07-16</x:v>
      </x:c>
    </x:row>
    <x:row r="36">
      <x:c r="A36" s="96" t="n">
        <x:v>3</x:v>
      </x:c>
      <x:c r="B36" s="96" t="n">
        <x:v>45</x:v>
      </x:c>
      <x:c r="C36" s="96" t="str">
        <x:v>2025.findings-emnlp.698.pdf</x:v>
      </x:c>
      <x:c r="D36" s="96" t="str">
        <x:v>RevPRAG: Revealing Poisoning Attacks in Retrieval-Augmented Generation through LLM Activation Analysis</x:v>
      </x:c>
      <x:c r="E36" s="96" t="str">
        <x:v>Xue Tan et al.</x:v>
      </x:c>
      <x:c r="F36" s="96" t="n">
        <x:v>2025</x:v>
      </x:c>
      <x:c r="G36" s="96" t="str">
        <x:v>Findings of EMNLP 2025</x:v>
      </x:c>
      <x:c r="H36" s="96" t="str">
        <x:v>Defense / detection</x:v>
      </x:c>
      <x:c r="I36" s="96" t="str">
        <x:v>Adjacent</x:v>
      </x:c>
      <x:c r="J36" s="96" t="str">
        <x:v>Detects poisoned RAG responses using internal activation patterns with high reported TPR and low FPR. Useful as adjacent detection literature, but not agent-written persistent memory or forensic traceback.</x:v>
      </x:c>
      <x:c r="K36" s="96" t="str">
        <x:v>Complete PDF</x:v>
      </x:c>
      <x:c r="L36" s="96" t="str">
        <x:v>/mnt/data/2025.findings-emnlp.698.pdf</x:v>
      </x:c>
      <x:c r="M36" s="96" t="str">
        <x:v>Yes</x:v>
      </x:c>
      <x:c r="N36" s="96" t="str">
        <x:v>Yes</x:v>
      </x:c>
      <x:c r="O36" s="96" t="str">
        <x:v>Not required</x:v>
      </x:c>
      <x:c r="P36" s="96" t="str">
        <x:v>Matches corpus ID 45.</x:v>
      </x:c>
      <x:c r="Q36" s="96" t="str">
        <x:v>2026-07-16</x:v>
      </x:c>
    </x:row>
    <x:row r="37">
      <x:c r="A37" s="96" t="n">
        <x:v>4</x:v>
      </x:c>
      <x:c r="B37" s="96" t="n">
        <x:v>44</x:v>
      </x:c>
      <x:c r="C37" s="96" t="str">
        <x:v>NeurIPS-2025-secon-rag-a-two-stage-semantic-filtering-and-conflict-free-framework-for-trustworthy-rag-Paper-Conference.pdf</x:v>
      </x:c>
      <x:c r="D37" s="96" t="str">
        <x:v>SeCon-RAG: A Two-Stage Semantic Filtering and Conflict-Free Framework for Trustworthy RAG</x:v>
      </x:c>
      <x:c r="E37" s="96" t="str">
        <x:v>Xiaonan Si et al.</x:v>
      </x:c>
      <x:c r="F37" s="96" t="n">
        <x:v>2025</x:v>
      </x:c>
      <x:c r="G37" s="96" t="str">
        <x:v>NeurIPS 2025</x:v>
      </x:c>
      <x:c r="H37" s="96" t="str">
        <x:v>Defense / RAG</x:v>
      </x:c>
      <x:c r="I37" s="96" t="str">
        <x:v>Adjacent</x:v>
      </x:c>
      <x:c r="J37" s="96" t="str">
        <x:v>Two-stage semantic and conflict-aware filtering for poisoned RAG corpora. Useful as an adjacent retrieval-stage defense, but it does not study agent-written persistent memory or post-incident forensics.</x:v>
      </x:c>
      <x:c r="K37" s="96" t="str">
        <x:v>Complete PDF</x:v>
      </x:c>
      <x:c r="L37" s="96" t="str">
        <x:v>/mnt/data/NeurIPS-2025-secon-rag-a-two-stage-semantic-filtering-and-conflict-free-framework-for-trustworthy-rag-Paper-Conference.pdf</x:v>
      </x:c>
      <x:c r="M37" s="96" t="str">
        <x:v>Yes</x:v>
      </x:c>
      <x:c r="N37" s="96" t="str">
        <x:v>Yes</x:v>
      </x:c>
      <x:c r="O37" s="96" t="str">
        <x:v>Not required</x:v>
      </x:c>
      <x:c r="P37" s="96" t="str">
        <x:v>Matches corpus ID 44.</x:v>
      </x:c>
      <x:c r="Q37" s="96" t="str">
        <x:v>2026-07-16</x:v>
      </x:c>
    </x:row>
    <x:row r="38">
      <x:c r="A38" s="96" t="n">
        <x:v>4</x:v>
      </x:c>
      <x:c r="B38" s="96" t="n">
        <x:v>43</x:v>
      </x:c>
      <x:c r="C38" s="96" t="str">
        <x:v>2501.00879v3.pdf</x:v>
      </x:c>
      <x:c r="D38" s="96" t="str">
        <x:v>TrustRAG: Enhancing Robustness and Trustworthiness in Retrieval-Augmented Generation</x:v>
      </x:c>
      <x:c r="E38" s="96" t="str">
        <x:v>Huichi Zhou et al.</x:v>
      </x:c>
      <x:c r="F38" s="96" t="n">
        <x:v>2025</x:v>
      </x:c>
      <x:c r="G38" s="96" t="str">
        <x:v>arXiv preprint</x:v>
      </x:c>
      <x:c r="H38" s="96" t="str">
        <x:v>Defense / RAG</x:v>
      </x:c>
      <x:c r="I38" s="96" t="str">
        <x:v>Adjacent</x:v>
      </x:c>
      <x:c r="J38" s="96" t="str">
        <x:v>Cluster filtering and LLM self-assessment mitigate static-corpus poisoning. Useful for retrieval-stage comparison, but outside the core persistent-memory forensic corpus.</x:v>
      </x:c>
      <x:c r="K38" s="96" t="str">
        <x:v>Complete PDF</x:v>
      </x:c>
      <x:c r="L38" s="96" t="str">
        <x:v>/mnt/data/2501.00879v3.pdf</x:v>
      </x:c>
      <x:c r="M38" s="96" t="str">
        <x:v>Yes</x:v>
      </x:c>
      <x:c r="N38" s="96" t="str">
        <x:v>Yes</x:v>
      </x:c>
      <x:c r="O38" s="96" t="str">
        <x:v>Not required</x:v>
      </x:c>
      <x:c r="P38" s="96" t="str">
        <x:v>Matches corpus ID 43.</x:v>
      </x:c>
      <x:c r="Q38" s="96" t="str">
        <x:v>2026-07-16</x:v>
      </x:c>
    </x:row>
    <x:row r="39">
      <x:c r="A39" s="96" t="n">
        <x:v>4</x:v>
      </x:c>
      <x:c r="B39" s="96" t="n">
        <x:v>42</x:v>
      </x:c>
      <x:c r="C39" s="96" t="str">
        <x:v>2510.02373v1.pdf</x:v>
      </x:c>
      <x:c r="D39" s="96" t="str">
        <x:v>A-MemGuard: A Proactive Defense Framework for LLM-Based Agent Memory</x:v>
      </x:c>
      <x:c r="E39" s="96" t="str">
        <x:v>Qianshan Wei et al.</x:v>
      </x:c>
      <x:c r="F39" s="96" t="n">
        <x:v>2025</x:v>
      </x:c>
      <x:c r="G39" s="96" t="str">
        <x:v>arXiv preprint</x:v>
      </x:c>
      <x:c r="H39" s="96" t="str">
        <x:v>Defense</x:v>
      </x:c>
      <x:c r="I39" s="96" t="str">
        <x:v>Include candidate</x:v>
      </x:c>
      <x:c r="J39" s="96" t="str">
        <x:v>Direct memory-native defense using context-aware consensus validation and a lesson-memory layer to interrupt self-reinforcing poisoning cycles. Core evidence for prevention, adaptive correction, and recovery.</x:v>
      </x:c>
      <x:c r="K39" s="96" t="str">
        <x:v>Complete PDF</x:v>
      </x:c>
      <x:c r="L39" s="96" t="str">
        <x:v>/mnt/data/2510.02373v1.pdf</x:v>
      </x:c>
      <x:c r="M39" s="96" t="str">
        <x:v>Yes</x:v>
      </x:c>
      <x:c r="N39" s="96" t="str">
        <x:v>Yes</x:v>
      </x:c>
      <x:c r="O39" s="96" t="str">
        <x:v>Ready for extraction</x:v>
      </x:c>
      <x:c r="P39" s="96" t="str">
        <x:v>Matches corpus ID 42.</x:v>
      </x:c>
      <x:c r="Q39" s="96" t="str">
        <x:v>2026-07-16</x:v>
      </x:c>
    </x:row>
    <x:row r="40">
      <x:c r="A40" s="96" t="n">
        <x:v>4</x:v>
      </x:c>
      <x:c r="B40" s="96" t="n">
        <x:v>41</x:v>
      </x:c>
      <x:c r="C40" s="96" t="str">
        <x:v>2405.15556v2.pdf</x:v>
      </x:c>
      <x:c r="D40" s="96" t="str">
        <x:v>Certifiably Robust RAG against Retrieval Corruption</x:v>
      </x:c>
      <x:c r="E40" s="96" t="str">
        <x:v>Chong Xiang et al.</x:v>
      </x:c>
      <x:c r="F40" s="96" t="n">
        <x:v>2026</x:v>
      </x:c>
      <x:c r="G40" s="96" t="str">
        <x:v>arXiv / IEEE SaTML version to verify</x:v>
      </x:c>
      <x:c r="H40" s="96" t="str">
        <x:v>Defense / RAG</x:v>
      </x:c>
      <x:c r="I40" s="96" t="str">
        <x:v>Adjacent</x:v>
      </x:c>
      <x:c r="J40" s="96" t="str">
        <x:v>Certifiable isolate-then-aggregate defense against bounded retrieval corruption. Strong theoretical comparator, but focused on static retrieved passages rather than persistent agent memory.</x:v>
      </x:c>
      <x:c r="K40" s="96" t="str">
        <x:v>Complete PDF</x:v>
      </x:c>
      <x:c r="L40" s="96" t="str">
        <x:v>/mnt/data/2405.15556v2.pdf</x:v>
      </x:c>
      <x:c r="M40" s="96" t="str">
        <x:v>Yes</x:v>
      </x:c>
      <x:c r="N40" s="96" t="str">
        <x:v>Yes</x:v>
      </x:c>
      <x:c r="O40" s="96" t="str">
        <x:v>Not required</x:v>
      </x:c>
      <x:c r="P40" s="96" t="str">
        <x:v>Matches corpus ID 41. Verify official SaTML 2026 publication metadata before final citation.</x:v>
      </x:c>
      <x:c r="Q40" s="96" t="str">
        <x:v>2026-07-16</x:v>
      </x:c>
    </x:row>
    <x:row r="41">
      <x:c r="A41" s="96" t="n">
        <x:v>4</x:v>
      </x:c>
      <x:c r="B41" s="96" t="n">
        <x:v>40</x:v>
      </x:c>
      <x:c r="C41" s="96" t="str">
        <x:v>2606.30566v1.pdf</x:v>
      </x:c>
      <x:c r="D41" s="96" t="str">
        <x:v>Forensic Trajectory Signatures for Agent Memory Poisoning Detection</x:v>
      </x:c>
      <x:c r="E41" s="96" t="str">
        <x:v>Jun Wen Leong</x:v>
      </x:c>
      <x:c r="F41" s="96" t="n">
        <x:v>2026</x:v>
      </x:c>
      <x:c r="G41" s="96" t="str">
        <x:v>arXiv preprint / under review</x:v>
      </x:c>
      <x:c r="H41" s="96" t="str">
        <x:v>Defense / forensics</x:v>
      </x:c>
      <x:c r="I41" s="96" t="str">
        <x:v>Include candidate</x:v>
      </x:c>
      <x:c r="J41" s="96" t="str">
        <x:v>Directly identifies persistent-memory poisoning from tool-call trajectory invariants, supports real-time blocking, and distinguishes memory-channel attacks from prompt injection using logs alone.</x:v>
      </x:c>
      <x:c r="K41" s="96" t="str">
        <x:v>Complete PDF</x:v>
      </x:c>
      <x:c r="L41" s="96" t="str">
        <x:v>/mnt/data/2606.30566v1.pdf</x:v>
      </x:c>
      <x:c r="M41" s="96" t="str">
        <x:v>Yes</x:v>
      </x:c>
      <x:c r="N41" s="96" t="str">
        <x:v>Yes</x:v>
      </x:c>
      <x:c r="O41" s="96" t="str">
        <x:v>Ready for extraction</x:v>
      </x:c>
      <x:c r="P41" s="96" t="str">
        <x:v>Matches corpus ID 40. Central to behavioral evidence, channel attribution, and evidential confidence.</x:v>
      </x:c>
      <x:c r="Q41" s="96" t="str">
        <x:v>2026-07-16</x:v>
      </x:c>
    </x:row>
    <x:row r="42">
      <x:c r="A42" s="96" t="n">
        <x:v>4</x:v>
      </x:c>
      <x:c r="B42" s="96" t="n">
        <x:v>39</x:v>
      </x:c>
      <x:c r="C42" s="96" t="str">
        <x:v>2605.23723v1.pdf</x:v>
      </x:c>
      <x:c r="D42" s="96" t="str">
        <x:v>MemAudit: Post-hoc Auditing of Poisoned Agent Memory via Causal Attribution and Structural Anomaly Detection</x:v>
      </x:c>
      <x:c r="E42" s="96" t="str">
        <x:v>Zhewen Tan et al.</x:v>
      </x:c>
      <x:c r="F42" s="96" t="n">
        <x:v>2026</x:v>
      </x:c>
      <x:c r="G42" s="96" t="str">
        <x:v>arXiv preprint</x:v>
      </x:c>
      <x:c r="H42" s="96" t="str">
        <x:v>Defense / post-hoc audit</x:v>
      </x:c>
      <x:c r="I42" s="96" t="str">
        <x:v>Include candidate</x:v>
      </x:c>
      <x:c r="J42" s="96" t="str">
        <x:v>Core forensic paper combining counterfactual memory influence with a structural consistency graph to identify responsible memories after harmful behavior.</x:v>
      </x:c>
      <x:c r="K42" s="96" t="str">
        <x:v>Complete PDF</x:v>
      </x:c>
      <x:c r="L42" s="96" t="str">
        <x:v>/mnt/data/2605.23723v1.pdf</x:v>
      </x:c>
      <x:c r="M42" s="96" t="str">
        <x:v>Yes</x:v>
      </x:c>
      <x:c r="N42" s="96" t="str">
        <x:v>Yes</x:v>
      </x:c>
      <x:c r="O42" s="96" t="str">
        <x:v>Ready for extraction</x:v>
      </x:c>
      <x:c r="P42" s="96" t="str">
        <x:v>Matches corpus ID 39. Central to MEIRC, causal-confidence levels, and post-hoc remediation.</x:v>
      </x:c>
      <x:c r="Q42" s="96" t="str">
        <x:v>2026-07-16</x:v>
      </x:c>
    </x:row>
    <x:row r="43">
      <x:c r="A43" s="96" t="n">
        <x:v>4</x:v>
      </x:c>
      <x:c r="B43" s="96" t="n">
        <x:v>38</x:v>
      </x:c>
      <x:c r="C43" s="96" t="str">
        <x:v>2606.24322v1.pdf</x:v>
      </x:c>
      <x:c r="D43" s="96" t="str">
        <x:v>Securing LLM-Agent Long-Term Memory Against Poisoning: Non-Malleable, Origin-Bound Authority with Machine-Checked Guarantees</x:v>
      </x:c>
      <x:c r="E43" s="96" t="str">
        <x:v>Yedidel Louck</x:v>
      </x:c>
      <x:c r="F43" s="96" t="n">
        <x:v>2026</x:v>
      </x:c>
      <x:c r="G43" s="96" t="str">
        <x:v>arXiv preprint</x:v>
      </x:c>
      <x:c r="H43" s="96" t="str">
        <x:v>Defense / formal authority</x:v>
      </x:c>
      <x:c r="I43" s="96" t="str">
        <x:v>Include candidate</x:v>
      </x:c>
      <x:c r="J43" s="96" t="str">
        <x:v>Directly addresses provenance laundering and proves that authority must be bound to non-malleable origin rather than content or mutable lineage alone. Core evidence for the provenance-versus-authority distinction.</x:v>
      </x:c>
      <x:c r="K43" s="96" t="str">
        <x:v>Complete PDF</x:v>
      </x:c>
      <x:c r="L43" s="96" t="str">
        <x:v>/mnt/data/2606.24322v1.pdf</x:v>
      </x:c>
      <x:c r="M43" s="96" t="str">
        <x:v>Yes</x:v>
      </x:c>
      <x:c r="N43" s="96" t="str">
        <x:v>Yes</x:v>
      </x:c>
      <x:c r="O43" s="96" t="str">
        <x:v>Ready for extraction</x:v>
      </x:c>
      <x:c r="P43" s="96" t="str">
        <x:v>Matches corpus ID 38. Record formal assumptions, TLA+ guarantees, laundering channels, and corroboration model.</x:v>
      </x:c>
      <x:c r="Q43" s="96" t="str">
        <x:v>2026-07-16</x:v>
      </x:c>
    </x:row>
    <x:row r="44">
      <x:c r="A44" s="96" t="n">
        <x:v>4</x:v>
      </x:c>
      <x:c r="B44" s="96" t="n">
        <x:v>37</x:v>
      </x:c>
      <x:c r="C44" s="96" t="str">
        <x:v>2605.14421v1.pdf</x:v>
      </x:c>
      <x:c r="D44" s="96" t="str">
        <x:v>MemLineage: Lineage-Guided Enforcement for LLM Agent Memory</x:v>
      </x:c>
      <x:c r="E44" s="96" t="str">
        <x:v>Ciyan Ouyang and Rui Hou</x:v>
      </x:c>
      <x:c r="F44" s="96" t="n">
        <x:v>2026</x:v>
      </x:c>
      <x:c r="G44" s="96" t="str">
        <x:v>arXiv preprint</x:v>
      </x:c>
      <x:c r="H44" s="96" t="str">
        <x:v>Defense / provenance</x:v>
      </x:c>
      <x:c r="I44" s="96" t="str">
        <x:v>Include candidate</x:v>
      </x:c>
      <x:c r="J44" s="96" t="str">
        <x:v>Direct chain-of-custody defense combining signed entries, Merkle logging, derivation DAGs, lineage propagation, sensitive-action gating, and recovery proofs.</x:v>
      </x:c>
      <x:c r="K44" s="96" t="str">
        <x:v>Complete PDF</x:v>
      </x:c>
      <x:c r="L44" s="96" t="str">
        <x:v>/mnt/data/2605.14421v1.pdf</x:v>
      </x:c>
      <x:c r="M44" s="96" t="str">
        <x:v>Yes</x:v>
      </x:c>
      <x:c r="N44" s="96" t="str">
        <x:v>Yes</x:v>
      </x:c>
      <x:c r="O44" s="96" t="str">
        <x:v>Ready for extraction</x:v>
      </x:c>
      <x:c r="P44" s="96" t="str">
        <x:v>Matches corpus ID 37. Central to provenance, evidence integrity, lineage completeness, and dependency-aware revocation.</x:v>
      </x:c>
      <x:c r="Q44" s="96" t="str">
        <x:v>2026-07-16</x:v>
      </x:c>
    </x:row>
    <x:row r="45">
      <x:c r="A45" s="96" t="n">
        <x:v>4</x:v>
      </x:c>
      <x:c r="B45" s="96" t="n">
        <x:v>36</x:v>
      </x:c>
      <x:c r="C45" s="96" t="str">
        <x:v>2507.03724v4.pdf</x:v>
      </x:c>
      <x:c r="D45" s="96" t="str">
        <x:v>MemOS: A Memory OS for AI System</x:v>
      </x:c>
      <x:c r="E45" s="96" t="str">
        <x:v>Zhiyu Li et al.</x:v>
      </x:c>
      <x:c r="F45" s="96" t="n">
        <x:v>2025</x:v>
      </x:c>
      <x:c r="G45" s="96" t="str">
        <x:v>arXiv preprint</x:v>
      </x:c>
      <x:c r="H45" s="96" t="str">
        <x:v>Provenance / system</x:v>
      </x:c>
      <x:c r="I45" s="96" t="str">
        <x:v>Include candidate</x:v>
      </x:c>
      <x:c r="J45" s="96" t="str">
        <x:v>Persistent-memory infrastructure that packages content with provenance, versioning, sensitivity, lifecycle, snapshot, and rollback metadata. Not a security evaluation, but a core systems substrate for forensic-readiness requirements.</x:v>
      </x:c>
      <x:c r="K45" s="96" t="str">
        <x:v>Complete PDF</x:v>
      </x:c>
      <x:c r="L45" s="96" t="str">
        <x:v>/mnt/data/2507.03724v4.pdf</x:v>
      </x:c>
      <x:c r="M45" s="96" t="str">
        <x:v>Yes</x:v>
      </x:c>
      <x:c r="N45" s="96" t="str">
        <x:v>Yes</x:v>
      </x:c>
      <x:c r="O45" s="96" t="str">
        <x:v>Ready for extraction</x:v>
      </x:c>
      <x:c r="P45" s="96" t="str">
        <x:v>Matches corpus ID 36. Extract only architecture, metadata, lifecycle, snapshot, and rollback capabilities; do not treat as attack-defense evidence.</x:v>
      </x:c>
      <x:c r="Q45" s="96" t="str">
        <x:v>2026-07-16</x:v>
      </x:c>
    </x:row>
    <x:row r="46">
      <x:c r="A46" s="96" t="n">
        <x:v>4</x:v>
      </x:c>
      <x:c r="B46" s="96" t="n">
        <x:v>35</x:v>
      </x:c>
      <x:c r="C46" s="96" t="str">
        <x:v>2508.02866v3.pdf</x:v>
      </x:c>
      <x:c r="D46" s="96" t="str">
        <x:v>PROV-AGENT: Unified Provenance for Tracking AI Agent Interactions in Agentic Workflows</x:v>
      </x:c>
      <x:c r="E46" s="96" t="str">
        <x:v>Renan Souza et al.</x:v>
      </x:c>
      <x:c r="F46" s="96" t="n">
        <x:v>2025</x:v>
      </x:c>
      <x:c r="G46" s="96" t="str">
        <x:v>IEEE e-Science 2025</x:v>
      </x:c>
      <x:c r="H46" s="96" t="str">
        <x:v>Provenance / system</x:v>
      </x:c>
      <x:c r="I46" s="96" t="str">
        <x:v>Include candidate</x:v>
      </x:c>
      <x:c r="J46" s="96" t="str">
        <x:v>Extends W3C PROV to prompts, responses, decisions, interactions, workflows, and downstream outcomes, with near-real-time capture. Core evidence for the general evidence model supporting MEIRC.</x:v>
      </x:c>
      <x:c r="K46" s="96" t="str">
        <x:v>Complete PDF</x:v>
      </x:c>
      <x:c r="L46" s="96" t="str">
        <x:v>/mnt/data/2508.02866v3.pdf</x:v>
      </x:c>
      <x:c r="M46" s="96" t="str">
        <x:v>Yes</x:v>
      </x:c>
      <x:c r="N46" s="96" t="str">
        <x:v>Yes</x:v>
      </x:c>
      <x:c r="O46" s="96" t="str">
        <x:v>Ready for extraction</x:v>
      </x:c>
      <x:c r="P46" s="96" t="str">
        <x:v>Matches corpus ID 35. Not memory-specific, so use as provenance-system evidence rather than memory attack evidence.</x:v>
      </x:c>
      <x:c r="Q46" s="96" t="str">
        <x:v>2026-07-16</x:v>
      </x:c>
    </x:row>
    <x:row r="47">
      <x:c r="A47" s="96" t="n">
        <x:v>4</x:v>
      </x:c>
      <x:c r="B47" s="96" t="n">
        <x:v>34</x:v>
      </x:c>
      <x:c r="C47" s="96" t="str">
        <x:v>2506.02539v3.pdf</x:v>
      </x:c>
      <x:c r="D47" s="96" t="str">
        <x:v>VerificAgent: Domain-Specific Memory Verification for Scalable Oversight of Aligned Computer-Use Agents</x:v>
      </x:c>
      <x:c r="E47" s="96" t="str">
        <x:v>Thong Q. Nguyen et al.</x:v>
      </x:c>
      <x:c r="F47" s="96" t="n">
        <x:v>2025</x:v>
      </x:c>
      <x:c r="G47" s="96" t="str">
        <x:v>arXiv preprint / under review</x:v>
      </x:c>
      <x:c r="H47" s="96" t="str">
        <x:v>Defense / verification</x:v>
      </x:c>
      <x:c r="I47" s="96" t="str">
        <x:v>Include candidate</x:v>
      </x:c>
      <x:c r="J47" s="96" t="str">
        <x:v>Direct persistent-memory verification framework using expert seeds, trajectory-derived memory growth, post-hoc human fact checking, and a frozen verified memory safety contract.</x:v>
      </x:c>
      <x:c r="K47" s="96" t="str">
        <x:v>Complete PDF</x:v>
      </x:c>
      <x:c r="L47" s="96" t="str">
        <x:v>/mnt/data/2506.02539v3.pdf</x:v>
      </x:c>
      <x:c r="M47" s="96" t="str">
        <x:v>Yes</x:v>
      </x:c>
      <x:c r="N47" s="96" t="str">
        <x:v>Yes</x:v>
      </x:c>
      <x:c r="O47" s="96" t="str">
        <x:v>Ready for extraction</x:v>
      </x:c>
      <x:c r="P47" s="96" t="str">
        <x:v>Matches corpus ID 34. Core evidence for write-time verification, human oversight, and memory sanitisation.</x:v>
      </x:c>
      <x:c r="Q47" s="96" t="str">
        <x:v>2026-07-16</x:v>
      </x:c>
    </x:row>
    <x:row r="48">
      <x:c r="A48" s="96" t="n">
        <x:v>4</x:v>
      </x:c>
      <x:c r="B48" s="96" t="n">
        <x:v>33</x:v>
      </x:c>
      <x:c r="C48" s="96" t="str">
        <x:v>2605.27825v1.pdf</x:v>
      </x:c>
      <x:c r="D48" s="96" t="str">
        <x:v>MRMMIA: Membership Inference Attacks on Memory in Chat Agents</x:v>
      </x:c>
      <x:c r="E48" s="96" t="str">
        <x:v>Kai Chen et al.</x:v>
      </x:c>
      <x:c r="F48" s="96" t="n">
        <x:v>2026</x:v>
      </x:c>
      <x:c r="G48" s="96" t="str">
        <x:v>arXiv preprint</x:v>
      </x:c>
      <x:c r="H48" s="96" t="str">
        <x:v>Attack / privacy</x:v>
      </x:c>
      <x:c r="I48" s="96" t="str">
        <x:v>Include candidate</x:v>
      </x:c>
      <x:c r="J48" s="96" t="str">
        <x:v>Directly formalizes membership inference against chat-agent memory across black-, gray-, and white-box settings. Core confidentiality evidence and benchmark foundation for memory-membership leakage.</x:v>
      </x:c>
      <x:c r="K48" s="96" t="str">
        <x:v>Complete PDF</x:v>
      </x:c>
      <x:c r="L48" s="96" t="str">
        <x:v>/mnt/data/2605.27825v1.pdf</x:v>
      </x:c>
      <x:c r="M48" s="96" t="str">
        <x:v>Yes</x:v>
      </x:c>
      <x:c r="N48" s="96" t="str">
        <x:v>Yes</x:v>
      </x:c>
      <x:c r="O48" s="96" t="str">
        <x:v>Ready for extraction</x:v>
      </x:c>
      <x:c r="P48" s="96" t="str">
        <x:v>Matches corpus ID 33.</x:v>
      </x:c>
      <x:c r="Q48" s="96" t="str">
        <x:v>2026-07-16</x:v>
      </x:c>
    </x:row>
    <x:row r="49">
      <x:c r="A49" s="96" t="n">
        <x:v>5</x:v>
      </x:c>
      <x:c r="B49" s="96" t="n">
        <x:v>32</x:v>
      </x:c>
      <x:c r="C49" s="96" t="str">
        <x:v>2605.09033v3.pdf</x:v>
      </x:c>
      <x:c r="D49" s="96" t="str">
        <x:v>ShadowMerge: A Novel Poisoning Attack on Graph-Based Agent Memory via Relation-Channel Conflicts</x:v>
      </x:c>
      <x:c r="E49" s="96" t="str">
        <x:v>Yang Luo et al.</x:v>
      </x:c>
      <x:c r="F49" s="96" t="n">
        <x:v>2026</x:v>
      </x:c>
      <x:c r="G49" s="96" t="str">
        <x:v>arXiv preprint</x:v>
      </x:c>
      <x:c r="H49" s="96" t="str">
        <x:v>Attack / graph memory</x:v>
      </x:c>
      <x:c r="I49" s="96" t="str">
        <x:v>Include candidate</x:v>
      </x:c>
      <x:c r="J49" s="96" t="str">
        <x:v>Direct poisoning attack on persistent graph-based agent memory. It exploits anchor–relation-channel conflicts and evaluates extraction, merging, retrieval, and downstream behavior in Mem0 graph memory.</x:v>
      </x:c>
      <x:c r="K49" s="96" t="str">
        <x:v>Complete PDF</x:v>
      </x:c>
      <x:c r="L49" s="96" t="str">
        <x:v>/mnt/data/2605.09033v3.pdf</x:v>
      </x:c>
      <x:c r="M49" s="96" t="str">
        <x:v>Yes</x:v>
      </x:c>
      <x:c r="N49" s="96" t="str">
        <x:v>Yes</x:v>
      </x:c>
      <x:c r="O49" s="96" t="str">
        <x:v>Ready for extraction</x:v>
      </x:c>
      <x:c r="P49" s="96" t="str">
        <x:v>Matches corpus ID 32. Core evidence for graph-memory-specific attack surfaces, multi-hop lineage, and relation-level contamination.</x:v>
      </x:c>
      <x:c r="Q49" s="96" t="str">
        <x:v>2026-07-16</x:v>
      </x:c>
    </x:row>
    <x:row r="50">
      <x:c r="A50" s="96" t="n">
        <x:v>5</x:v>
      </x:c>
      <x:c r="B50" s="96" t="n">
        <x:v>31</x:v>
      </x:c>
      <x:c r="C50" s="96" t="str">
        <x:v>2605.29960v1.pdf</x:v>
      </x:c>
      <x:c r="D50" s="96" t="str">
        <x:v>Hijacking Agent Memory: Stealthy Trojan Attacks Through Conversational Interaction</x:v>
      </x:c>
      <x:c r="E50" s="96" t="str">
        <x:v>Hongtao Wang et al.</x:v>
      </x:c>
      <x:c r="F50" s="96" t="n">
        <x:v>2026</x:v>
      </x:c>
      <x:c r="G50" s="96" t="str">
        <x:v>arXiv preprint</x:v>
      </x:c>
      <x:c r="H50" s="96" t="str">
        <x:v>Attack / poisoning</x:v>
      </x:c>
      <x:c r="I50" s="96" t="str">
        <x:v>Include candidate</x:v>
      </x:c>
      <x:c r="J50" s="96" t="str">
        <x:v>Direct black-box conversational poisoning attack designed to survive selective extraction, rewriting, and retrieval in realistic long-term memory pipelines.</x:v>
      </x:c>
      <x:c r="K50" s="96" t="str">
        <x:v>Complete PDF</x:v>
      </x:c>
      <x:c r="L50" s="96" t="str">
        <x:v>/mnt/data/2605.29960v1.pdf</x:v>
      </x:c>
      <x:c r="M50" s="96" t="str">
        <x:v>Yes</x:v>
      </x:c>
      <x:c r="N50" s="96" t="str">
        <x:v>Yes</x:v>
      </x:c>
      <x:c r="O50" s="96" t="str">
        <x:v>Ready for extraction</x:v>
      </x:c>
      <x:c r="P50" s="96" t="str">
        <x:v>Matches corpus ID 31. Record semantic bridge, entity masquerading, joint embedding optimization, ASR, stealth, and defense limitations.</x:v>
      </x:c>
      <x:c r="Q50" s="96" t="str">
        <x:v>2026-07-16</x:v>
      </x:c>
    </x:row>
    <x:row r="51">
      <x:c r="A51" s="96" t="n">
        <x:v>5</x:v>
      </x:c>
      <x:c r="B51" s="96" t="n">
        <x:v>30</x:v>
      </x:c>
      <x:c r="C51" s="96" t="str">
        <x:v>2602.15344v1.pdf</x:v>
      </x:c>
      <x:c r="D51" s="96" t="str">
        <x:v>ER-MIA: Black-Box Adversarial Memory Injection Attacks on Long-Term Memory-Augmented Large Language Models</x:v>
      </x:c>
      <x:c r="E51" s="96" t="str">
        <x:v>Mitchell Piehl et al.</x:v>
      </x:c>
      <x:c r="F51" s="96" t="n">
        <x:v>2026</x:v>
      </x:c>
      <x:c r="G51" s="96" t="str">
        <x:v>arXiv preprint</x:v>
      </x:c>
      <x:c r="H51" s="96" t="str">
        <x:v>Attack / memory injection</x:v>
      </x:c>
      <x:c r="I51" s="96" t="str">
        <x:v>Include candidate</x:v>
      </x:c>
      <x:c r="J51" s="96" t="str">
        <x:v>Direct black-box injection study targeting similarity-based retrieval in dynamic long-term memory. Relevant to system-level retrieval vulnerabilities and persistent reasoning degradation.</x:v>
      </x:c>
      <x:c r="K51" s="96" t="str">
        <x:v>Complete PDF</x:v>
      </x:c>
      <x:c r="L51" s="96" t="str">
        <x:v>/mnt/data/2602.15344v1.pdf</x:v>
      </x:c>
      <x:c r="M51" s="96" t="str">
        <x:v>Yes</x:v>
      </x:c>
      <x:c r="N51" s="96" t="str">
        <x:v>Yes</x:v>
      </x:c>
      <x:c r="O51" s="96" t="str">
        <x:v>Ready for extraction</x:v>
      </x:c>
      <x:c r="P51" s="96" t="str">
        <x:v>Matches corpus ID 30. Distinguish this memory-injection acronym from membership inference attacks.</x:v>
      </x:c>
      <x:c r="Q51" s="96" t="str">
        <x:v>2026-07-16</x:v>
      </x:c>
    </x:row>
    <x:row r="52">
      <x:c r="A52" s="96" t="n">
        <x:v>5</x:v>
      </x:c>
      <x:c r="B52" s="96" t="n">
        <x:v>29</x:v>
      </x:c>
      <x:c r="C52" s="96" t="str">
        <x:v>2606.04425v1.pdf</x:v>
      </x:c>
      <x:c r="D52" s="96" t="str">
        <x:v>What If Prompt Injection Never Left? Exploring Cross-Session Stored Prompt Injection in Agentic Systems</x:v>
      </x:c>
      <x:c r="E52" s="96" t="str">
        <x:v>Yuanbo Xie et al.</x:v>
      </x:c>
      <x:c r="F52" s="96" t="n">
        <x:v>2026</x:v>
      </x:c>
      <x:c r="G52" s="96" t="str">
        <x:v>arXiv preprint</x:v>
      </x:c>
      <x:c r="H52" s="96" t="str">
        <x:v>Attack / cross-session persistence</x:v>
      </x:c>
      <x:c r="I52" s="96" t="str">
        <x:v>Include candidate</x:v>
      </x:c>
      <x:c r="J52" s="96" t="str">
        <x:v>Formalizes stored prompt injection across memories, filesystems, tools, skills, and other long-lived agent state. Core evidence that persistence converts transient injection into a system-level cross-session threat.</x:v>
      </x:c>
      <x:c r="K52" s="96" t="str">
        <x:v>Complete PDF</x:v>
      </x:c>
      <x:c r="L52" s="96" t="str">
        <x:v>/mnt/data/2606.04425v1.pdf</x:v>
      </x:c>
      <x:c r="M52" s="96" t="str">
        <x:v>Yes</x:v>
      </x:c>
      <x:c r="N52" s="96" t="str">
        <x:v>Yes</x:v>
      </x:c>
      <x:c r="O52" s="96" t="str">
        <x:v>Ready for extraction</x:v>
      </x:c>
      <x:c r="P52" s="96" t="str">
        <x:v>Matches corpus ID 29. Extract persistence-channel taxonomy, benchmark design, and cross-session attack results.</x:v>
      </x:c>
      <x:c r="Q52" s="96" t="str">
        <x:v>2026-07-16</x:v>
      </x:c>
    </x:row>
    <x:row r="53">
      <x:c r="A53" s="96" t="n">
        <x:v>5</x:v>
      </x:c>
      <x:c r="B53" s="96" t="n">
        <x:v>28</x:v>
      </x:c>
      <x:c r="C53" s="96" t="str">
        <x:v>2410.14931v1.pdf</x:v>
      </x:c>
      <x:c r="D53" s="96" t="str">
        <x:v>“Ghost of the Past”: Identifying and Resolving Privacy Leakage of LLM’s Memory Through Proactive User Interaction</x:v>
      </x:c>
      <x:c r="E53" s="96" t="str">
        <x:v>Shuning Zhang et al.</x:v>
      </x:c>
      <x:c r="F53" s="96" t="n">
        <x:v>2023</x:v>
      </x:c>
      <x:c r="G53" s="96" t="str">
        <x:v>CHI 2023</x:v>
      </x:c>
      <x:c r="H53" s="96" t="str">
        <x:v>Privacy / human factors</x:v>
      </x:c>
      <x:c r="I53" s="96" t="str">
        <x:v>Adjacent</x:v>
      </x:c>
      <x:c r="J53" s="96" t="str">
        <x:v>Studies user awareness, visualization, and management of sensitive information inferred from conversational and RAG-based memory. Useful for privacy, consent, and user-facing remediation, but not an autonomous-agent forensic study.</x:v>
      </x:c>
      <x:c r="K53" s="96" t="str">
        <x:v>Complete PDF</x:v>
      </x:c>
      <x:c r="L53" s="96" t="str">
        <x:v>/mnt/data/2410.14931v1.pdf</x:v>
      </x:c>
      <x:c r="M53" s="96" t="str">
        <x:v>Yes</x:v>
      </x:c>
      <x:c r="N53" s="96" t="str">
        <x:v>Yes</x:v>
      </x:c>
      <x:c r="O53" s="96" t="str">
        <x:v>Not required</x:v>
      </x:c>
      <x:c r="P53" s="96" t="str">
        <x:v>Matches corpus ID 28. Correct citation year is 2023; arXiv upload occurred in 2024. DOI 10.1145/3544548.3581419.</x:v>
      </x:c>
      <x:c r="Q53" s="96" t="str">
        <x:v>2026-07-16</x:v>
      </x:c>
    </x:row>
    <x:row r="54">
      <x:c r="A54" s="96" t="n">
        <x:v>5</x:v>
      </x:c>
      <x:c r="B54" s="96" t="n">
        <x:v>27</x:v>
      </x:c>
      <x:c r="C54" s="96" t="str">
        <x:v>2403.02817v2.pdf</x:v>
      </x:c>
      <x:c r="D54" s="96" t="str">
        <x:v>Here Comes the AI Worm: Unleashing Zero-Click Worms that Target GenAI-Powered Applications</x:v>
      </x:c>
      <x:c r="E54" s="96" t="str">
        <x:v>Stav Cohen et al.</x:v>
      </x:c>
      <x:c r="F54" s="96" t="n">
        <x:v>2025</x:v>
      </x:c>
      <x:c r="G54" s="96" t="str">
        <x:v>arXiv / venue metadata to verify</x:v>
      </x:c>
      <x:c r="H54" s="96" t="str">
        <x:v>Attack / propagation</x:v>
      </x:c>
      <x:c r="I54" s="96" t="str">
        <x:v>Adjacent</x:v>
      </x:c>
      <x:c r="J54" s="96" t="str">
        <x:v>Demonstrates self-replicating prompts that persist through RAG-based applications and propagate across an ecosystem. Important for blast-radius and propagation analysis, but not specifically an agent-written personal memory store.</x:v>
      </x:c>
      <x:c r="K54" s="96" t="str">
        <x:v>Complete PDF</x:v>
      </x:c>
      <x:c r="L54" s="96" t="str">
        <x:v>/mnt/data/2403.02817v2.pdf</x:v>
      </x:c>
      <x:c r="M54" s="96" t="str">
        <x:v>Yes</x:v>
      </x:c>
      <x:c r="N54" s="96" t="str">
        <x:v>Yes</x:v>
      </x:c>
      <x:c r="O54" s="96" t="str">
        <x:v>Not required</x:v>
      </x:c>
      <x:c r="P54" s="96" t="str">
        <x:v>Matches corpus ID 27. Use as an ecosystem-level propagation comparator.</x:v>
      </x:c>
      <x:c r="Q54" s="96" t="str">
        <x:v>2026-07-16</x:v>
      </x:c>
    </x:row>
    <x:row r="55">
      <x:c r="A55" s="96" t="n">
        <x:v>5</x:v>
      </x:c>
      <x:c r="B55" s="96" t="n">
        <x:v>26</x:v>
      </x:c>
      <x:c r="C55" s="96" t="str">
        <x:v>2402.08567v2.pdf</x:v>
      </x:c>
      <x:c r="D55" s="96" t="str">
        <x:v>Agent Smith: A Single Image Can Jailbreak One Million Multimodal LLM Agents Exponentially Fast</x:v>
      </x:c>
      <x:c r="E55" s="96" t="str">
        <x:v>Xiangming Gu et al.</x:v>
      </x:c>
      <x:c r="F55" s="96" t="n">
        <x:v>2024</x:v>
      </x:c>
      <x:c r="G55" s="96" t="str">
        <x:v>ICML 2024</x:v>
      </x:c>
      <x:c r="H55" s="96" t="str">
        <x:v>Attack / multi-agent propagation</x:v>
      </x:c>
      <x:c r="I55" s="96" t="str">
        <x:v>Include candidate</x:v>
      </x:c>
      <x:c r="J55" s="96" t="str">
        <x:v>Memory-bank-mediated infectious jailbreak across a large multi-agent environment. Core evidence for propagation speed, systemic blast radius, and multimodal contamination.</x:v>
      </x:c>
      <x:c r="K55" s="96" t="str">
        <x:v>Complete PDF</x:v>
      </x:c>
      <x:c r="L55" s="96" t="str">
        <x:v>/mnt/data/2402.08567v2.pdf</x:v>
      </x:c>
      <x:c r="M55" s="96" t="str">
        <x:v>Yes</x:v>
      </x:c>
      <x:c r="N55" s="96" t="str">
        <x:v>Yes</x:v>
      </x:c>
      <x:c r="O55" s="96" t="str">
        <x:v>Ready for extraction</x:v>
      </x:c>
      <x:c r="P55" s="96" t="str">
        <x:v>Matches corpus ID 26. It is not cross-session personal memory, so code it primarily under share/propagate evidence.</x:v>
      </x:c>
      <x:c r="Q55" s="96" t="str">
        <x:v>2026-07-16</x:v>
      </x:c>
    </x:row>
    <x:row r="56">
      <x:c r="A56" s="96" t="n">
        <x:v>5</x:v>
      </x:c>
      <x:c r="B56" s="96" t="n">
        <x:v>25</x:v>
      </x:c>
      <x:c r="C56" s="96" t="str">
        <x:v>sec24winter-prepub-1468-zou.pdf</x:v>
      </x:c>
      <x:c r="D56" s="96" t="str">
        <x:v>PoisonedRAG: Knowledge Corruption Attacks to Retrieval-Augmented Generation of Large Language Models</x:v>
      </x:c>
      <x:c r="E56" s="96" t="str">
        <x:v>Wei Zou et al.</x:v>
      </x:c>
      <x:c r="F56" s="96" t="n">
        <x:v>2024</x:v>
      </x:c>
      <x:c r="G56" s="96" t="str">
        <x:v>USENIX Security publication metadata to verify</x:v>
      </x:c>
      <x:c r="H56" s="96" t="str">
        <x:v>Attack / static RAG</x:v>
      </x:c>
      <x:c r="I56" s="96" t="str">
        <x:v>Adjacent</x:v>
      </x:c>
      <x:c r="J56" s="96" t="str">
        <x:v>Canonical static knowledge-base poisoning attack. Retain as a contrast showing how agent-memory attacks differ in write path, persistence, transformation, and authority.</x:v>
      </x:c>
      <x:c r="K56" s="96" t="str">
        <x:v>Complete PDF</x:v>
      </x:c>
      <x:c r="L56" s="96" t="str">
        <x:v>/mnt/data/sec24winter-prepub-1468-zou.pdf</x:v>
      </x:c>
      <x:c r="M56" s="96" t="str">
        <x:v>Yes</x:v>
      </x:c>
      <x:c r="N56" s="96" t="str">
        <x:v>Yes</x:v>
      </x:c>
      <x:c r="O56" s="96" t="str">
        <x:v>Not required</x:v>
      </x:c>
      <x:c r="P56" s="96" t="str">
        <x:v>Matches corpus ID 25. Verify final USENIX year, proceedings title, and pages before citation.</x:v>
      </x:c>
      <x:c r="Q56" s="96" t="str">
        <x:v>2026-07-16</x:v>
      </x:c>
    </x:row>
    <x:row r="57">
      <x:c r="A57" s="96" t="n">
        <x:v>5</x:v>
      </x:c>
      <x:c r="B57" s="96" t="n">
        <x:v>24</x:v>
      </x:c>
      <x:c r="C57" s="96" t="str">
        <x:v>2604.16966v1.pdf</x:v>
      </x:c>
      <x:c r="D57" s="96" t="str">
        <x:v>Visual Inception: Compromising Long-Term Planning in Agentic Recommenders via Multimodal Memory Poisoning</x:v>
      </x:c>
      <x:c r="E57" s="96" t="str">
        <x:v>Jiachen Qian</x:v>
      </x:c>
      <x:c r="F57" s="96" t="n">
        <x:v>2026</x:v>
      </x:c>
      <x:c r="G57" s="96" t="str">
        <x:v>arXiv preprint</x:v>
      </x:c>
      <x:c r="H57" s="96" t="str">
        <x:v>Attack and defense / multimodal memory</x:v>
      </x:c>
      <x:c r="I57" s="96" t="str">
        <x:v>Include candidate</x:v>
      </x:c>
      <x:c r="J57" s="96" t="str">
        <x:v>Direct sleeper-style poisoning of persistent multimodal memory in agentic recommender systems, with future planning effects and counterfactual reasoning verification defense.</x:v>
      </x:c>
      <x:c r="K57" s="96" t="str">
        <x:v>Complete PDF</x:v>
      </x:c>
      <x:c r="L57" s="96" t="str">
        <x:v>/mnt/data/2604.16966v1.pdf</x:v>
      </x:c>
      <x:c r="M57" s="96" t="str">
        <x:v>Yes</x:v>
      </x:c>
      <x:c r="N57" s="96" t="str">
        <x:v>Yes</x:v>
      </x:c>
      <x:c r="O57" s="96" t="str">
        <x:v>Ready for extraction</x:v>
      </x:c>
      <x:c r="P57" s="96" t="str">
        <x:v>Matches corpus ID 24. Core evidence for multimodal memory, delayed activation, planning hijack, and counterfactual evaluation.</x:v>
      </x:c>
      <x:c r="Q57" s="96" t="str">
        <x:v>2026-07-16</x:v>
      </x:c>
    </x:row>
    <x:row r="58">
      <x:c r="A58" s="96" t="n">
        <x:v>5</x:v>
      </x:c>
      <x:c r="B58" s="96" t="n">
        <x:v>23</x:v>
      </x:c>
      <x:c r="C58" s="96" t="str">
        <x:v>2602.20156v3.pdf</x:v>
      </x:c>
      <x:c r="D58" s="96" t="str">
        <x:v>SKILL-INJECT: Measuring Agent Vulnerability to Skill File Attacks</x:v>
      </x:c>
      <x:c r="E58" s="96" t="str">
        <x:v>David Schmotz et al.</x:v>
      </x:c>
      <x:c r="F58" s="96" t="n">
        <x:v>2026</x:v>
      </x:c>
      <x:c r="G58" s="96" t="str">
        <x:v>arXiv preprint</x:v>
      </x:c>
      <x:c r="H58" s="96" t="str">
        <x:v>Attack / persistent skill files</x:v>
      </x:c>
      <x:c r="I58" s="96" t="str">
        <x:v>Adjacent</x:v>
      </x:c>
      <x:c r="J58" s="96" t="str">
        <x:v>Evaluates malicious instructions embedded in persistent skill files. Relevant to procedural state and supply-chain authority, but skills are not the same as dynamically learned agent memory.</x:v>
      </x:c>
      <x:c r="K58" s="96" t="str">
        <x:v>Complete PDF</x:v>
      </x:c>
      <x:c r="L58" s="96" t="str">
        <x:v>/mnt/data/2602.20156v3.pdf</x:v>
      </x:c>
      <x:c r="M58" s="96" t="str">
        <x:v>Yes</x:v>
      </x:c>
      <x:c r="N58" s="96" t="str">
        <x:v>Yes</x:v>
      </x:c>
      <x:c r="O58" s="96" t="str">
        <x:v>Not required</x:v>
      </x:c>
      <x:c r="P58" s="96" t="str">
        <x:v>Matches corpus ID 23. Use as adjacent procedural-persistence evidence.</x:v>
      </x:c>
      <x:c r="Q58" s="96" t="str">
        <x:v>2026-07-16</x:v>
      </x:c>
    </x:row>
    <x:row r="59">
      <x:c r="A59" s="96" t="n">
        <x:v>5</x:v>
      </x:c>
      <x:c r="B59" s="96" t="n">
        <x:v>22</x:v>
      </x:c>
      <x:c r="C59" s="96" t="str">
        <x:v>2604.01350v1.pdf</x:v>
      </x:c>
      <x:c r="D59" s="96" t="str">
        <x:v>No Attacker Needed: Unintentional Cross-User Contamination in Shared-State LLM Agents</x:v>
      </x:c>
      <x:c r="E59" s="96" t="str">
        <x:v>Tiankai Yang et al.</x:v>
      </x:c>
      <x:c r="F59" s="96" t="n">
        <x:v>2026</x:v>
      </x:c>
      <x:c r="G59" s="96" t="str">
        <x:v>arXiv preprint / under review</x:v>
      </x:c>
      <x:c r="H59" s="96" t="str">
        <x:v>Non-adversarial failure / shared state</x:v>
      </x:c>
      <x:c r="I59" s="96" t="str">
        <x:v>Include candidate</x:v>
      </x:c>
      <x:c r="J59" s="96" t="str">
        <x:v>Directly studies benign but harmful persistence across users in shared agent state. Core evidence that forensic readiness must cover non-adversarial contamination and scope errors.</x:v>
      </x:c>
      <x:c r="K59" s="96" t="str">
        <x:v>Complete PDF</x:v>
      </x:c>
      <x:c r="L59" s="96" t="str">
        <x:v>/mnt/data/2604.01350v1.pdf</x:v>
      </x:c>
      <x:c r="M59" s="96" t="str">
        <x:v>Yes</x:v>
      </x:c>
      <x:c r="N59" s="96" t="str">
        <x:v>Yes</x:v>
      </x:c>
      <x:c r="O59" s="96" t="str">
        <x:v>Ready for extraction</x:v>
      </x:c>
      <x:c r="P59" s="96" t="str">
        <x:v>Matches corpus ID 22. Extract contamination taxonomy, state mechanisms, residual risk, and silent wrong-answer findings.</x:v>
      </x:c>
      <x:c r="Q59" s="96" t="str">
        <x:v>2026-07-16</x:v>
      </x:c>
    </x:row>
    <x:row r="60">
      <x:c r="A60" s="96" t="n">
        <x:v>5</x:v>
      </x:c>
      <x:c r="B60" s="96" t="n">
        <x:v>21</x:v>
      </x:c>
      <x:c r="C60" s="96" t="str">
        <x:v>2602.15654v2.pdf</x:v>
      </x:c>
      <x:c r="D60" s="96" t="str">
        <x:v>Zombie Agents: Persistent Control of Self-Evolving LLM Agents via Self-Reinforcing Injections</x:v>
      </x:c>
      <x:c r="E60" s="96" t="str">
        <x:v>Xianglin Yang et al.</x:v>
      </x:c>
      <x:c r="F60" s="96" t="n">
        <x:v>2026</x:v>
      </x:c>
      <x:c r="G60" s="96" t="str">
        <x:v>arXiv preprint</x:v>
      </x:c>
      <x:c r="H60" s="96" t="str">
        <x:v>Attack / persistent control</x:v>
      </x:c>
      <x:c r="I60" s="96" t="str">
        <x:v>Include candidate</x:v>
      </x:c>
      <x:c r="J60" s="96" t="str">
        <x:v>Direct cross-session attack in which indirect content enters long-term memory during a benign task and later triggers unauthorized tool behavior. Central persistence and reactivation evidence.</x:v>
      </x:c>
      <x:c r="K60" s="96" t="str">
        <x:v>Complete PDF</x:v>
      </x:c>
      <x:c r="L60" s="96" t="str">
        <x:v>/mnt/data/2602.15654v2.pdf</x:v>
      </x:c>
      <x:c r="M60" s="96" t="str">
        <x:v>Yes</x:v>
      </x:c>
      <x:c r="N60" s="96" t="str">
        <x:v>Yes</x:v>
      </x:c>
      <x:c r="O60" s="96" t="str">
        <x:v>Ready for extraction</x:v>
      </x:c>
      <x:c r="P60" s="96" t="str">
        <x:v>Matches corpus ID 21. Extract infection/trigger phases, persistence strategies, unauthorized actions, and benign-utility preservation.</x:v>
      </x:c>
      <x:c r="Q60" s="96" t="str">
        <x:v>2026-07-16</x:v>
      </x:c>
    </x:row>
    <x:row r="61">
      <x:c r="A61" s="96" t="n">
        <x:v>6</x:v>
      </x:c>
      <x:c r="B61" s="96" t="n">
        <x:v>20</x:v>
      </x:c>
      <x:c r="C61" s="96" t="str">
        <x:v>2605.26154v1.pdf</x:v>
      </x:c>
      <x:c r="D61" s="96" t="str">
        <x:v>MemMorph: Tool Hijacking in LLM Agents via Memory Poisoning</x:v>
      </x:c>
      <x:c r="E61" s="96" t="str">
        <x:v>Xuanye Zhang et al.</x:v>
      </x:c>
      <x:c r="F61" s="96" t="n">
        <x:v>2026</x:v>
      </x:c>
      <x:c r="G61" s="96" t="str">
        <x:v>arXiv preprint</x:v>
      </x:c>
      <x:c r="H61" s="96" t="str">
        <x:v>Attack / tool selection</x:v>
      </x:c>
      <x:c r="I61" s="96" t="str">
        <x:v>Include candidate</x:v>
      </x:c>
      <x:c r="J61" s="96" t="str">
        <x:v>Directly poisons long-term agent memory with disguised facts, incident reports, and operational policies to bias later tool selection. Core execute-phase evidence.</x:v>
      </x:c>
      <x:c r="K61" s="96" t="str">
        <x:v>Complete PDF</x:v>
      </x:c>
      <x:c r="L61" s="96" t="str">
        <x:v>/mnt/data/2605.26154v1.pdf</x:v>
      </x:c>
      <x:c r="M61" s="96" t="str">
        <x:v>Yes</x:v>
      </x:c>
      <x:c r="N61" s="96" t="str">
        <x:v>Yes</x:v>
      </x:c>
      <x:c r="O61" s="96" t="str">
        <x:v>Ready for extraction</x:v>
      </x:c>
      <x:c r="P61" s="96" t="str">
        <x:v>Matches corpus ID 20. Extract tool-selection ASR, memory implementations, attack record types, defense resistance, and downstream action risks.</x:v>
      </x:c>
      <x:c r="Q61" s="96" t="str">
        <x:v>2026-07-16</x:v>
      </x:c>
    </x:row>
    <x:row r="62">
      <x:c r="A62" s="96" t="n">
        <x:v>6</x:v>
      </x:c>
      <x:c r="B62" s="96" t="n">
        <x:v>19</x:v>
      </x:c>
      <x:c r="C62" s="96" t="str">
        <x:v>2606.04329v2.pdf</x:v>
      </x:c>
      <x:c r="D62" s="96" t="str">
        <x:v>From Untrusted Input to Trusted Memory: A Systematic Study of Memory Poisoning Attacks in LLM Agents</x:v>
      </x:c>
      <x:c r="E62" s="96" t="str">
        <x:v>Pritam Dash et al.</x:v>
      </x:c>
      <x:c r="F62" s="96" t="n">
        <x:v>2026</x:v>
      </x:c>
      <x:c r="G62" s="96" t="str">
        <x:v>ICML 2026 AIWILD workshop</x:v>
      </x:c>
      <x:c r="H62" s="96" t="str">
        <x:v>Attack taxonomy / benchmark</x:v>
      </x:c>
      <x:c r="I62" s="96" t="str">
        <x:v>Include candidate</x:v>
      </x:c>
      <x:c r="J62" s="96" t="str">
        <x:v>Systematic primary study identifying four memory-write channels, nine structural vulnerabilities, six attack classes, and MPBench. Central evidence for the attack-surface taxonomy.</x:v>
      </x:c>
      <x:c r="K62" s="96" t="str">
        <x:v>Complete PDF</x:v>
      </x:c>
      <x:c r="L62" s="96" t="str">
        <x:v>/mnt/data/2606.04329v2.pdf</x:v>
      </x:c>
      <x:c r="M62" s="96" t="str">
        <x:v>Yes</x:v>
      </x:c>
      <x:c r="N62" s="96" t="str">
        <x:v>Yes</x:v>
      </x:c>
      <x:c r="O62" s="96" t="str">
        <x:v>Ready for extraction</x:v>
      </x:c>
      <x:c r="P62" s="96" t="str">
        <x:v>Matches corpus ID 19. Code as primary benchmark/taxonomy evidence, not as a secondary survey.</x:v>
      </x:c>
      <x:c r="Q62" s="96" t="str">
        <x:v>2026-07-16</x:v>
      </x:c>
    </x:row>
    <x:row r="63">
      <x:c r="A63" s="96" t="n">
        <x:v>6</x:v>
      </x:c>
      <x:c r="B63" s="96" t="n">
        <x:v>18</x:v>
      </x:c>
      <x:c r="C63" s="96" t="str">
        <x:v>2605.15338v2.pdf</x:v>
      </x:c>
      <x:c r="D63" s="96" t="str">
        <x:v>Hidden in Memory: Sleeper Memory Poisoning in LLM Agents</x:v>
      </x:c>
      <x:c r="E63" s="96" t="str">
        <x:v>Sidharth Pulipaka et al.</x:v>
      </x:c>
      <x:c r="F63" s="96" t="n">
        <x:v>2026</x:v>
      </x:c>
      <x:c r="G63" s="96" t="str">
        <x:v>arXiv preprint / under review</x:v>
      </x:c>
      <x:c r="H63" s="96" t="str">
        <x:v>Attack / delayed activation</x:v>
      </x:c>
      <x:c r="I63" s="96" t="str">
        <x:v>Include candidate</x:v>
      </x:c>
      <x:c r="J63" s="96" t="str">
        <x:v>Direct three-stage persistent-memory attack covering write, later retrieval, and downstream behavior across future conversations. Core sleeper and causal-chain evidence.</x:v>
      </x:c>
      <x:c r="K63" s="96" t="str">
        <x:v>Complete PDF</x:v>
      </x:c>
      <x:c r="L63" s="96" t="str">
        <x:v>/mnt/data/2605.15338v2.pdf</x:v>
      </x:c>
      <x:c r="M63" s="96" t="str">
        <x:v>Yes</x:v>
      </x:c>
      <x:c r="N63" s="96" t="str">
        <x:v>Yes</x:v>
      </x:c>
      <x:c r="O63" s="96" t="str">
        <x:v>Ready for extraction</x:v>
      </x:c>
      <x:c r="P63" s="96" t="str">
        <x:v>Matches corpus ID 18. Record write, retrieval, behavioral-use rates, model families, memory managers, and adaptive-defense results.</x:v>
      </x:c>
      <x:c r="Q63" s="96" t="str">
        <x:v>2026-07-16</x:v>
      </x:c>
    </x:row>
    <x:row r="64">
      <x:c r="A64" s="96" t="n">
        <x:v>6</x:v>
      </x:c>
      <x:c r="B64" s="96" t="n">
        <x:v>17</x:v>
      </x:c>
      <x:c r="C64" s="96" t="str">
        <x:v>2605.01970v3.pdf</x:v>
      </x:c>
      <x:c r="D64" s="96" t="str">
        <x:v>Trojan Hippo: Weaponizing Agent Memory for Data Exfiltration</x:v>
      </x:c>
      <x:c r="E64" s="96" t="str">
        <x:v>Debeshee Das et al.</x:v>
      </x:c>
      <x:c r="F64" s="96" t="n">
        <x:v>2026</x:v>
      </x:c>
      <x:c r="G64" s="96" t="str">
        <x:v>arXiv preprint</x:v>
      </x:c>
      <x:c r="H64" s="96" t="str">
        <x:v>Attack / exfiltration</x:v>
      </x:c>
      <x:c r="I64" s="96" t="str">
        <x:v>Include candidate</x:v>
      </x:c>
      <x:c r="J64" s="96" t="str">
        <x:v>Direct persistent-memory exfiltration attack with single-tool-call ingestion, long dormancy, topic-triggered activation, four memory backends, adaptive red teaming, and defense utility analysis.</x:v>
      </x:c>
      <x:c r="K64" s="96" t="str">
        <x:v>Complete PDF</x:v>
      </x:c>
      <x:c r="L64" s="96" t="str">
        <x:v>/mnt/data/2605.01970v3.pdf</x:v>
      </x:c>
      <x:c r="M64" s="96" t="str">
        <x:v>Yes</x:v>
      </x:c>
      <x:c r="N64" s="96" t="str">
        <x:v>Yes</x:v>
      </x:c>
      <x:c r="O64" s="96" t="str">
        <x:v>Ready for extraction</x:v>
      </x:c>
      <x:c r="P64" s="96" t="str">
        <x:v>Matches corpus ID 17. Central privacy, delayed activation, evidence-chain, and security–utility trade-off study.</x:v>
      </x:c>
      <x:c r="Q64" s="96" t="str">
        <x:v>2026-07-16</x:v>
      </x:c>
    </x:row>
    <x:row r="65">
      <x:c r="A65" s="96" t="n">
        <x:v>6</x:v>
      </x:c>
      <x:c r="B65" s="96" t="n">
        <x:v>16</x:v>
      </x:c>
      <x:c r="C65" s="96" t="str">
        <x:v>2603.15125v3.pdf</x:v>
      </x:c>
      <x:c r="D65" s="96" t="str">
        <x:v>From Storage to Steering: Memory Control Flow Attacks on LLM Agents</x:v>
      </x:c>
      <x:c r="E65" s="96" t="str">
        <x:v>Zhenlin Xu et al.</x:v>
      </x:c>
      <x:c r="F65" s="96" t="n">
        <x:v>2026</x:v>
      </x:c>
      <x:c r="G65" s="96" t="str">
        <x:v>arXiv preprint</x:v>
      </x:c>
      <x:c r="H65" s="96" t="str">
        <x:v>Attack / control flow</x:v>
      </x:c>
      <x:c r="I65" s="96" t="str">
        <x:v>Include candidate</x:v>
      </x:c>
      <x:c r="J65" s="96" t="str">
        <x:v>Directly shows that stored action-oriented policies can override user instructions and persistently alter tool selection and ordering across tasks.</x:v>
      </x:c>
      <x:c r="K65" s="96" t="str">
        <x:v>Complete PDF</x:v>
      </x:c>
      <x:c r="L65" s="96" t="str">
        <x:v>/mnt/data/2603.15125v3.pdf</x:v>
      </x:c>
      <x:c r="M65" s="96" t="str">
        <x:v>Yes</x:v>
      </x:c>
      <x:c r="N65" s="96" t="str">
        <x:v>Yes</x:v>
      </x:c>
      <x:c r="O65" s="96" t="str">
        <x:v>Ready for extraction</x:v>
      </x:c>
      <x:c r="P65" s="96" t="str">
        <x:v>Matches corpus ID 16. Extract control-flow traces, persistence horizon, deviation metrics, frameworks, and mitigation results.</x:v>
      </x:c>
      <x:c r="Q65" s="96" t="str">
        <x:v>2026-07-16</x:v>
      </x:c>
    </x:row>
    <x:row r="66">
      <x:c r="A66" s="96" t="n">
        <x:v>6</x:v>
      </x:c>
      <x:c r="B66" s="96" t="n">
        <x:v>15</x:v>
      </x:c>
      <x:c r="C66" s="96" t="str">
        <x:v>2512.16962v1.pdf</x:v>
      </x:c>
      <x:c r="D66" s="96" t="str">
        <x:v>MemoryGraft: Persistent Compromise of LLM Agents via Poisoned Experience Retrieval</x:v>
      </x:c>
      <x:c r="E66" s="96" t="str">
        <x:v>Saksham Sahai Srivastava and Haoyu He</x:v>
      </x:c>
      <x:c r="F66" s="96" t="n">
        <x:v>2025</x:v>
      </x:c>
      <x:c r="G66" s="96" t="str">
        <x:v>arXiv preprint</x:v>
      </x:c>
      <x:c r="H66" s="96" t="str">
        <x:v>Attack / experience memory</x:v>
      </x:c>
      <x:c r="I66" s="96" t="str">
        <x:v>Include candidate</x:v>
      </x:c>
      <x:c r="J66" s="96" t="str">
        <x:v>Indirectly implants malicious successful experiences that are later semantically retrieved and imitated, creating trigger-free procedural drift across sessions.</x:v>
      </x:c>
      <x:c r="K66" s="96" t="str">
        <x:v>Complete PDF</x:v>
      </x:c>
      <x:c r="L66" s="96" t="str">
        <x:v>/mnt/data/2512.16962v1.pdf</x:v>
      </x:c>
      <x:c r="M66" s="96" t="str">
        <x:v>Yes</x:v>
      </x:c>
      <x:c r="N66" s="96" t="str">
        <x:v>Yes</x:v>
      </x:c>
      <x:c r="O66" s="96" t="str">
        <x:v>Ready for extraction</x:v>
      </x:c>
      <x:c r="P66" s="96" t="str">
        <x:v>Matches corpus ID 15. Core evidence for episodic/procedural memory, semantic imitation, and experience-to-action contamination.</x:v>
      </x:c>
      <x:c r="Q66" s="96" t="str">
        <x:v>2026-07-16</x:v>
      </x:c>
    </x:row>
    <x:row r="67">
      <x:c r="A67" s="96" t="n">
        <x:v>6</x:v>
      </x:c>
      <x:c r="B67" s="96" t="n">
        <x:v>14</x:v>
      </x:c>
      <x:c r="C67" s="96" t="str">
        <x:v>18062_InjecMEM_Memory_Injectio.pdf</x:v>
      </x:c>
      <x:c r="D67" s="96" t="str">
        <x:v>InjecMEM: Memory Injection Attack on LLM Agent Memory Systems</x:v>
      </x:c>
      <x:c r="E67" s="96" t="str">
        <x:v>Anonymous authors</x:v>
      </x:c>
      <x:c r="F67" s="96" t="n">
        <x:v>2026</x:v>
      </x:c>
      <x:c r="G67" s="96" t="str">
        <x:v>ICLR 2026 submission / OpenReview</x:v>
      </x:c>
      <x:c r="H67" s="96" t="str">
        <x:v>Attack / memory injection</x:v>
      </x:c>
      <x:c r="I67" s="96" t="str">
        <x:v>Include candidate</x:v>
      </x:c>
      <x:c r="J67" s="96" t="str">
        <x:v>Direct one-interaction memory injection against layered MemoryOS using a retriever-agnostic anchor and adversarial command robust to memory drift and fused contexts.</x:v>
      </x:c>
      <x:c r="K67" s="96" t="str">
        <x:v>Complete PDF</x:v>
      </x:c>
      <x:c r="L67" s="96" t="str">
        <x:v>/mnt/data/18062_InjecMEM_Memory_Injectio.pdf</x:v>
      </x:c>
      <x:c r="M67" s="96" t="str">
        <x:v>Yes</x:v>
      </x:c>
      <x:c r="N67" s="96" t="str">
        <x:v>Yes</x:v>
      </x:c>
      <x:c r="O67" s="96" t="str">
        <x:v>Ready for extraction</x:v>
      </x:c>
      <x:c r="P67" s="96" t="str">
        <x:v>Matches corpus ID 14. Keep authors anonymous until an official version is available; record targeted generation, retrieval rate, persistence, and indirect tool-write path.</x:v>
      </x:c>
      <x:c r="Q67" s="96" t="str">
        <x:v>2026-07-16</x:v>
      </x:c>
    </x:row>
    <x:row r="68">
      <x:c r="A68" s="96" t="n">
        <x:v>6</x:v>
      </x:c>
      <x:c r="B68" s="96" t="n">
        <x:v>13</x:v>
      </x:c>
      <x:c r="C68" s="96" t="str">
        <x:v>2604.02623v2.pdf</x:v>
      </x:c>
      <x:c r="D68" s="96" t="str">
        <x:v>Poison Once, Exploit Forever: Environment-Injected Memory Poisoning Attacks on Web Agents</x:v>
      </x:c>
      <x:c r="E68" s="96" t="str">
        <x:v>Wei Zou et al.</x:v>
      </x:c>
      <x:c r="F68" s="96" t="n">
        <x:v>2026</x:v>
      </x:c>
      <x:c r="G68" s="96" t="str">
        <x:v>arXiv preprint / under review</x:v>
      </x:c>
      <x:c r="H68" s="96" t="str">
        <x:v>Attack / web-agent memory</x:v>
      </x:c>
      <x:c r="I68" s="96" t="str">
        <x:v>Include candidate</x:v>
      </x:c>
      <x:c r="J68" s="96" t="str">
        <x:v>Direct environment-only poisoning of trajectory memory through manipulated web observations, producing cross-session and cross-site compromise without direct memory access.</x:v>
      </x:c>
      <x:c r="K68" s="96" t="str">
        <x:v>Complete PDF</x:v>
      </x:c>
      <x:c r="L68" s="96" t="str">
        <x:v>/mnt/data/2604.02623v2.pdf</x:v>
      </x:c>
      <x:c r="M68" s="96" t="str">
        <x:v>Yes</x:v>
      </x:c>
      <x:c r="N68" s="96" t="str">
        <x:v>Yes</x:v>
      </x:c>
      <x:c r="O68" s="96" t="str">
        <x:v>Ready for extraction</x:v>
      </x:c>
      <x:c r="P68" s="96" t="str">
        <x:v>Matches corpus ID 13. Extract consolidated versus unconsolidated memory, frustration effects, models, tasks, and permission-defense bypass.</x:v>
      </x:c>
      <x:c r="Q68" s="96" t="str">
        <x:v>2026-07-16</x:v>
      </x:c>
    </x:row>
    <x:row r="69">
      <x:c r="A69" s="96" t="n">
        <x:v>6</x:v>
      </x:c>
      <x:c r="B69" s="96" t="n">
        <x:v>12</x:v>
      </x:c>
      <x:c r="C69" s="96" t="str">
        <x:v>2025.acl-long.1227.pdf</x:v>
      </x:c>
      <x:c r="D69" s="96" t="str">
        <x:v>Unveiling Privacy Risks in LLM Agent Memory</x:v>
      </x:c>
      <x:c r="E69" s="96" t="str">
        <x:v>Bo Wang et al.</x:v>
      </x:c>
      <x:c r="F69" s="96" t="n">
        <x:v>2025</x:v>
      </x:c>
      <x:c r="G69" s="96" t="str">
        <x:v>ACL 2025</x:v>
      </x:c>
      <x:c r="H69" s="96" t="str">
        <x:v>Attack / privacy extraction</x:v>
      </x:c>
      <x:c r="I69" s="96" t="str">
        <x:v>Include candidate</x:v>
      </x:c>
      <x:c r="J69" s="96" t="str">
        <x:v>Peer-reviewed black-box Memory EXTRaction Attack against private user-agent interaction records in long-term memory. Core confidentiality evidence.</x:v>
      </x:c>
      <x:c r="K69" s="96" t="str">
        <x:v>Complete PDF</x:v>
      </x:c>
      <x:c r="L69" s="96" t="str">
        <x:v>/mnt/data/2025.acl-long.1227.pdf</x:v>
      </x:c>
      <x:c r="M69" s="96" t="str">
        <x:v>Yes</x:v>
      </x:c>
      <x:c r="N69" s="96" t="str">
        <x:v>Yes</x:v>
      </x:c>
      <x:c r="O69" s="96" t="str">
        <x:v>Ready for extraction</x:v>
      </x:c>
      <x:c r="P69" s="96" t="str">
        <x:v>Matches corpus ID 12. DOI 10.18653/v1/2025.acl-long.1227; extract attacker knowledge, agents, leakage metrics, and memory-design factors.</x:v>
      </x:c>
      <x:c r="Q69" s="96" t="str">
        <x:v>2026-07-16</x:v>
      </x:c>
    </x:row>
    <x:row r="70">
      <x:c r="A70" s="96" t="n">
        <x:v>6</x:v>
      </x:c>
      <x:c r="B70" s="96" t="n">
        <x:v>11</x:v>
      </x:c>
      <x:c r="C70" s="96" t="str">
        <x:v>16400_Memory_Injection_Attacks.pdf</x:v>
      </x:c>
      <x:c r="D70" s="96" t="str">
        <x:v>Memory Injection Attacks on LLM Agents via Query-Only Interaction</x:v>
      </x:c>
      <x:c r="E70" s="96" t="str">
        <x:v>Shen Dong et al.</x:v>
      </x:c>
      <x:c r="F70" s="96" t="n">
        <x:v>2025</x:v>
      </x:c>
      <x:c r="G70" s="96" t="str">
        <x:v>NeurIPS 2025</x:v>
      </x:c>
      <x:c r="H70" s="96" t="str">
        <x:v>Attack / query-only injection</x:v>
      </x:c>
      <x:c r="I70" s="96" t="str">
        <x:v>Include candidate</x:v>
      </x:c>
      <x:c r="J70" s="96" t="str">
        <x:v>Peer-reviewed query-only attack that induces the agent to generate and store malicious demonstrations without direct memory access.</x:v>
      </x:c>
      <x:c r="K70" s="96" t="str">
        <x:v>Complete PDF</x:v>
      </x:c>
      <x:c r="L70" s="96" t="str">
        <x:v>/mnt/data/16400_Memory_Injection_Attacks.pdf</x:v>
      </x:c>
      <x:c r="M70" s="96" t="str">
        <x:v>Yes</x:v>
      </x:c>
      <x:c r="N70" s="96" t="str">
        <x:v>Yes</x:v>
      </x:c>
      <x:c r="O70" s="96" t="str">
        <x:v>Ready for extraction</x:v>
      </x:c>
      <x:c r="P70" s="96" t="str">
        <x:v>Matches corpus ID 11. Extract bridging steps, progressive shortening, agents/domains, injection success, and attack-access assumptions.</x:v>
      </x:c>
      <x:c r="Q70" s="96" t="str">
        <x:v>2026-07-16</x:v>
      </x:c>
    </x:row>
    <x:row r="71">
      <x:c r="A71" s="96" t="n">
        <x:v>6</x:v>
      </x:c>
      <x:c r="B71" s="96" t="n">
        <x:v>10</x:v>
      </x:c>
      <x:c r="C71" s="96" t="str">
        <x:v>NeurIPS-2024-agentpoison-red-teaming-llm-agents-via-poisoning-memory-or-knowledge-bases-Paper-Conference.pdf</x:v>
      </x:c>
      <x:c r="D71" s="96" t="str">
        <x:v>AgentPoison: Red-Teaming LLM Agents via Poisoning Memory or Knowledge Bases</x:v>
      </x:c>
      <x:c r="E71" s="96" t="str">
        <x:v>Zhaorun Chen et al.</x:v>
      </x:c>
      <x:c r="F71" s="96" t="n">
        <x:v>2024</x:v>
      </x:c>
      <x:c r="G71" s="96" t="str">
        <x:v>NeurIPS 2024</x:v>
      </x:c>
      <x:c r="H71" s="96" t="str">
        <x:v>Attack / backdoor</x:v>
      </x:c>
      <x:c r="I71" s="96" t="str">
        <x:v>Include candidate</x:v>
      </x:c>
      <x:c r="J71" s="96" t="str">
        <x:v>Foundational peer-reviewed backdoor attack on long-term agent memory and RAG knowledge bases using optimized embedding-space triggers.</x:v>
      </x:c>
      <x:c r="K71" s="96" t="str">
        <x:v>Complete PDF</x:v>
      </x:c>
      <x:c r="L71" s="96" t="str">
        <x:v>/mnt/data/NeurIPS-2024-agentpoison-red-teaming-llm-agents-via-poisoning-memory-or-knowledge-bases-Paper-Conference.pdf</x:v>
      </x:c>
      <x:c r="M71" s="96" t="str">
        <x:v>Yes</x:v>
      </x:c>
      <x:c r="N71" s="96" t="str">
        <x:v>Yes</x:v>
      </x:c>
      <x:c r="O71" s="96" t="str">
        <x:v>Ready for extraction</x:v>
      </x:c>
      <x:c r="P71" s="96" t="str">
        <x:v>Matches corpus ID 10. Extract poison rate, retrieval rate, ASR, benign utility, transferability, and direct-write assumption.</x:v>
      </x:c>
      <x:c r="Q71" s="96" t="str">
        <x:v>2026-07-16</x:v>
      </x:c>
    </x:row>
    <x:row r="72">
      <x:c r="A72" s="96" t="n">
        <x:v>6</x:v>
      </x:c>
      <x:c r="B72" s="96" t="n">
        <x:v>9</x:v>
      </x:c>
      <x:c r="C72" s="96" t="str">
        <x:v>2605.06716v1.pdf</x:v>
      </x:c>
      <x:c r="D72" s="96" t="str">
        <x:v>From Storage to Experience: A Survey on the Evolution of LLM Agent Memory Mechanisms</x:v>
      </x:c>
      <x:c r="E72" s="96" t="str">
        <x:v>Jinghao Luo et al.</x:v>
      </x:c>
      <x:c r="F72" s="96" t="n">
        <x:v>2026</x:v>
      </x:c>
      <x:c r="G72" s="96" t="str">
        <x:v>arXiv preprint</x:v>
      </x:c>
      <x:c r="H72" s="96" t="str">
        <x:v>Survey / memory mechanisms</x:v>
      </x:c>
      <x:c r="I72" s="96" t="str">
        <x:v>Background</x:v>
      </x:c>
      <x:c r="J72" s="96" t="str">
        <x:v>Capability-oriented survey of storage, reflection, and experience stages in agent memory. Useful for architectural foundations and terminology, but not part of the primary forensic corpus.</x:v>
      </x:c>
      <x:c r="K72" s="96" t="str">
        <x:v>Complete PDF</x:v>
      </x:c>
      <x:c r="L72" s="96" t="str">
        <x:v>/mnt/data/2605.06716v1.pdf</x:v>
      </x:c>
      <x:c r="M72" s="96" t="str">
        <x:v>Yes</x:v>
      </x:c>
      <x:c r="N72" s="96" t="str">
        <x:v>Yes</x:v>
      </x:c>
      <x:c r="O72" s="96" t="str">
        <x:v>Not required</x:v>
      </x:c>
      <x:c r="P72" s="96" t="str">
        <x:v>Matches corpus ID 9. Use to support the background taxonomy of memory evolution and mechanisms.</x:v>
      </x:c>
      <x:c r="Q72" s="96" t="str">
        <x:v>2026-07-16</x:v>
      </x:c>
    </x:row>
    <x:row r="73">
      <x:c r="A73" s="96" t="n">
        <x:v>7</x:v>
      </x:c>
      <x:c r="B73" s="96" t="n">
        <x:v>8</x:v>
      </x:c>
      <x:c r="C73" s="96" t="str">
        <x:v>2512.23343v1.pdf</x:v>
      </x:c>
      <x:c r="D73" s="96" t="str">
        <x:v>AI Meets Brain: A Unified Survey on Memory Systems from Cognitive Neuroscience to Autonomous Agents</x:v>
      </x:c>
      <x:c r="E73" s="96" t="str">
        <x:v>Jiafeng Liang et al.</x:v>
      </x:c>
      <x:c r="F73" s="96" t="n">
        <x:v>2025</x:v>
      </x:c>
      <x:c r="G73" s="96" t="str">
        <x:v>arXiv preprint / ACM-style manuscript</x:v>
      </x:c>
      <x:c r="H73" s="96" t="str">
        <x:v>Survey / memory foundations</x:v>
      </x:c>
      <x:c r="I73" s="96" t="str">
        <x:v>Background</x:v>
      </x:c>
      <x:c r="J73" s="96" t="str">
        <x:v>Broad interdisciplinary survey connecting cognitive neuroscience and agent memory, including taxonomy, lifecycle, benchmarks, and a limited security section. Useful for foundational definitions, but not primary evidence.</x:v>
      </x:c>
      <x:c r="K73" s="96" t="str">
        <x:v>Complete PDF</x:v>
      </x:c>
      <x:c r="L73" s="96" t="str">
        <x:v>/mnt/data/2512.23343v1.pdf</x:v>
      </x:c>
      <x:c r="M73" s="96" t="str">
        <x:v>Yes</x:v>
      </x:c>
      <x:c r="N73" s="96" t="str">
        <x:v>Yes</x:v>
      </x:c>
      <x:c r="O73" s="96" t="str">
        <x:v>Not required</x:v>
      </x:c>
      <x:c r="P73" s="96" t="str">
        <x:v>Matches corpus ID 8. Use in the background and related-survey comparison.</x:v>
      </x:c>
      <x:c r="Q73" s="96" t="str">
        <x:v>2026-07-16</x:v>
      </x:c>
    </x:row>
    <x:row r="74">
      <x:c r="A74" s="96" t="n">
        <x:v>7</x:v>
      </x:c>
      <x:c r="B74" s="96" t="n">
        <x:v>7</x:v>
      </x:c>
      <x:c r="C74" s="96" t="str">
        <x:v>1-s2.0-S1566253525010036-main.pdf</x:v>
      </x:c>
      <x:c r="D74" s="96" t="str">
        <x:v>Security of LLM-Based Agents Regarding Attacks, Defenses, and Applications: A Comprehensive Survey</x:v>
      </x:c>
      <x:c r="E74" s="96" t="str">
        <x:v>Yaxin Tang et al.</x:v>
      </x:c>
      <x:c r="F74" s="96" t="n">
        <x:v>2026</x:v>
      </x:c>
      <x:c r="G74" s="96" t="str">
        <x:v>Information Fusion 127 (2026) 103941</x:v>
      </x:c>
      <x:c r="H74" s="96" t="str">
        <x:v>Survey / broad agent security</x:v>
      </x:c>
      <x:c r="I74" s="96" t="str">
        <x:v>Background</x:v>
      </x:c>
      <x:c r="J74" s="96" t="str">
        <x:v>Peer-reviewed broad survey of attacks, defenses, and security applications of LLM agents. Memory poisoning is one component, so it provides broader-but-shallower positioning.</x:v>
      </x:c>
      <x:c r="K74" s="96" t="str">
        <x:v>Complete PDF</x:v>
      </x:c>
      <x:c r="L74" s="96" t="str">
        <x:v>/mnt/data/1-s2.0-S1566253525010036-main.pdf</x:v>
      </x:c>
      <x:c r="M74" s="96" t="str">
        <x:v>Yes</x:v>
      </x:c>
      <x:c r="N74" s="96" t="str">
        <x:v>Yes</x:v>
      </x:c>
      <x:c r="O74" s="96" t="str">
        <x:v>Not required</x:v>
      </x:c>
      <x:c r="P74" s="96" t="str">
        <x:v>Matches corpus ID 7. DOI 10.1016/j.inffus.2025.103941; official journal metadata verified from the uploaded publisher PDF.</x:v>
      </x:c>
      <x:c r="Q74" s="96" t="str">
        <x:v>2026-07-16</x:v>
      </x:c>
    </x:row>
    <x:row r="75">
      <x:c r="A75" s="96" t="n">
        <x:v>7</x:v>
      </x:c>
      <x:c r="B75" s="96" t="n">
        <x:v>6</x:v>
      </x:c>
      <x:c r="C75" s="96" t="str">
        <x:v>2603.21654v1.pdf</x:v>
      </x:c>
      <x:c r="D75" s="96" t="str">
        <x:v>Towards Secure Retrieval-Augmented Generation: A Comprehensive Review of Threats, Defenses and Benchmarks</x:v>
      </x:c>
      <x:c r="E75" s="96" t="str">
        <x:v>Yanming Mu et al.</x:v>
      </x:c>
      <x:c r="F75" s="96" t="n">
        <x:v>2026</x:v>
      </x:c>
      <x:c r="G75" s="96" t="str">
        <x:v>arXiv preprint</x:v>
      </x:c>
      <x:c r="H75" s="96" t="str">
        <x:v>Survey / RAG security</x:v>
      </x:c>
      <x:c r="I75" s="96" t="str">
        <x:v>Background</x:v>
      </x:c>
      <x:c r="J75" s="96" t="str">
        <x:v>Comprehensive static-RAG security survey covering poisoning, privacy, defenses, and benchmarks. Important for explicitly distinguishing persistent agent memory from operator-curated retrieval corpora.</x:v>
      </x:c>
      <x:c r="K75" s="96" t="str">
        <x:v>Complete PDF</x:v>
      </x:c>
      <x:c r="L75" s="96" t="str">
        <x:v>/mnt/data/2603.21654v1.pdf</x:v>
      </x:c>
      <x:c r="M75" s="96" t="str">
        <x:v>Yes</x:v>
      </x:c>
      <x:c r="N75" s="96" t="str">
        <x:v>Yes</x:v>
      </x:c>
      <x:c r="O75" s="96" t="str">
        <x:v>Not required</x:v>
      </x:c>
      <x:c r="P75" s="96" t="str">
        <x:v>Matches corpus ID 6. Use as adjacent-survey evidence only.</x:v>
      </x:c>
      <x:c r="Q75" s="96" t="str">
        <x:v>2026-07-16</x:v>
      </x:c>
    </x:row>
    <x:row r="76">
      <x:c r="A76" s="96" t="n">
        <x:v>7</x:v>
      </x:c>
      <x:c r="B76" s="96" t="n">
        <x:v>5</x:v>
      </x:c>
      <x:c r="C76" s="96" t="str">
        <x:v>2404.13501v1.pdf</x:v>
      </x:c>
      <x:c r="D76" s="96" t="str">
        <x:v>A Survey on the Memory Mechanism of Large Language Model Based Agents</x:v>
      </x:c>
      <x:c r="E76" s="96" t="str">
        <x:v>Zeyu Zhang et al.</x:v>
      </x:c>
      <x:c r="F76" s="96" t="n">
        <x:v>2024</x:v>
      </x:c>
      <x:c r="G76" s="96" t="str">
        <x:v>arXiv preprint / ACM TOIS version available</x:v>
      </x:c>
      <x:c r="H76" s="96" t="str">
        <x:v>Survey / memory mechanisms</x:v>
      </x:c>
      <x:c r="I76" s="96" t="str">
        <x:v>Background</x:v>
      </x:c>
      <x:c r="J76" s="96" t="str">
        <x:v>Canonical memory-mechanism survey covering definitions, design, evaluation, and applications. It provides the architectural baseline that the forensic survey extends.</x:v>
      </x:c>
      <x:c r="K76" s="96" t="str">
        <x:v>Complete PDF</x:v>
      </x:c>
      <x:c r="L76" s="96" t="str">
        <x:v>/mnt/data/2404.13501v1.pdf</x:v>
      </x:c>
      <x:c r="M76" s="96" t="str">
        <x:v>Yes</x:v>
      </x:c>
      <x:c r="N76" s="96" t="str">
        <x:v>Yes</x:v>
      </x:c>
      <x:c r="O76" s="96" t="str">
        <x:v>Not required</x:v>
      </x:c>
      <x:c r="P76" s="96" t="str">
        <x:v>Matches corpus ID 5. Cite the peer-reviewed ACM TOIS version when bibliographic metadata is finalised.</x:v>
      </x:c>
      <x:c r="Q76" s="96" t="str">
        <x:v>2026-07-16</x:v>
      </x:c>
    </x:row>
    <x:row r="77">
      <x:c r="A77" s="96" t="n">
        <x:v>7</x:v>
      </x:c>
      <x:c r="B77" s="96" t="n">
        <x:v>4</x:v>
      </x:c>
      <x:c r="C77" s="96" t="str">
        <x:v>2512.13564v2.pdf</x:v>
      </x:c>
      <x:c r="D77" s="96" t="str">
        <x:v>Memory in the Age of AI Agents: A Survey—Forms, Functions and Dynamics</x:v>
      </x:c>
      <x:c r="E77" s="96" t="str">
        <x:v>Yuyang Hu et al.</x:v>
      </x:c>
      <x:c r="F77" s="96" t="n">
        <x:v>2026</x:v>
      </x:c>
      <x:c r="G77" s="96" t="str">
        <x:v>arXiv preprint</x:v>
      </x:c>
      <x:c r="H77" s="96" t="str">
        <x:v>Survey / agent memory</x:v>
      </x:c>
      <x:c r="I77" s="96" t="str">
        <x:v>Background</x:v>
      </x:c>
      <x:c r="J77" s="96" t="str">
        <x:v>Large general survey distinguishing agent memory from LLM memory, RAG, and context engineering, and organising memory by forms, functions, and dynamics. Central background comparator.</x:v>
      </x:c>
      <x:c r="K77" s="96" t="str">
        <x:v>Complete PDF</x:v>
      </x:c>
      <x:c r="L77" s="96" t="str">
        <x:v>/mnt/data/2512.13564v2.pdf</x:v>
      </x:c>
      <x:c r="M77" s="96" t="str">
        <x:v>Yes</x:v>
      </x:c>
      <x:c r="N77" s="96" t="str">
        <x:v>Yes</x:v>
      </x:c>
      <x:c r="O77" s="96" t="str">
        <x:v>Not required</x:v>
      </x:c>
      <x:c r="P77" s="96" t="str">
        <x:v>Matches corpus ID 4. Uploaded revision is dated January 2026; update corpus year accordingly.</x:v>
      </x:c>
      <x:c r="Q77" s="96" t="str">
        <x:v>2026-07-16</x:v>
      </x:c>
    </x:row>
    <x:row r="78">
      <x:c r="A78" s="96" t="n">
        <x:v>7</x:v>
      </x:c>
      <x:c r="B78" s="96" t="n">
        <x:v>3</x:v>
      </x:c>
      <x:c r="C78" s="96" t="str">
        <x:v>2606.30306v1.pdf</x:v>
      </x:c>
      <x:c r="D78" s="96" t="str">
        <x:v>Always-On Agents: A Survey of Persistent Memory, State, and Governance in LLM Agents</x:v>
      </x:c>
      <x:c r="E78" s="96" t="str">
        <x:v>Tianyu Ding et al.</x:v>
      </x:c>
      <x:c r="F78" s="96" t="n">
        <x:v>2026</x:v>
      </x:c>
      <x:c r="G78" s="96" t="str">
        <x:v>arXiv preprint</x:v>
      </x:c>
      <x:c r="H78" s="96" t="str">
        <x:v>Survey / persistent state and governance</x:v>
      </x:c>
      <x:c r="I78" s="96" t="str">
        <x:v>Background / close comparator</x:v>
      </x:c>
      <x:c r="J78" s="96" t="str">
        <x:v>Close survey on persistent state, authority, scope, mutability, provenance, recoverability, actionability, lifecycle governance, and rollback. It overlaps with governance and recovery but not with the proposed forensic incident-reconstruction focus.</x:v>
      </x:c>
      <x:c r="K78" s="96" t="str">
        <x:v>Complete PDF</x:v>
      </x:c>
      <x:c r="L78" s="96" t="str">
        <x:v>/mnt/data/2606.30306v1.pdf</x:v>
      </x:c>
      <x:c r="M78" s="96" t="str">
        <x:v>Yes</x:v>
      </x:c>
      <x:c r="N78" s="96" t="str">
        <x:v>Yes</x:v>
      </x:c>
      <x:c r="O78" s="96" t="str">
        <x:v>Not required</x:v>
      </x:c>
      <x:c r="P78" s="96" t="str">
        <x:v>Matches corpus ID 3. Must be included in the direct comparison table and novelty discussion.</x:v>
      </x:c>
      <x:c r="Q78" s="96" t="str">
        <x:v>2026-07-16</x:v>
      </x:c>
    </x:row>
    <x:row r="79">
      <x:c r="A79" s="96" t="n">
        <x:v>7</x:v>
      </x:c>
      <x:c r="B79" s="96" t="n">
        <x:v>2</x:v>
      </x:c>
      <x:c r="C79" s="96" t="str">
        <x:v>2606.04990v4.pdf</x:v>
      </x:c>
      <x:c r="D79" s="96" t="str">
        <x:v>From Agent Traces to Trust: A Survey of Evidence Tracing and Execution Provenance in LLM Agents</x:v>
      </x:c>
      <x:c r="E79" s="96" t="str">
        <x:v>Yiqi Wang et al.</x:v>
      </x:c>
      <x:c r="F79" s="96" t="n">
        <x:v>2026</x:v>
      </x:c>
      <x:c r="G79" s="96" t="str">
        <x:v>arXiv preprint</x:v>
      </x:c>
      <x:c r="H79" s="96" t="str">
        <x:v>Survey / execution provenance</x:v>
      </x:c>
      <x:c r="I79" s="96" t="str">
        <x:v>Background / highest-overlap comparator</x:v>
      </x:c>
      <x:c r="J79" s="96" t="str">
        <x:v>Closest provenance-oriented survey, covering evidence tracing, execution graphs, memory provenance, audit, diagnosis, and recovery. The present survey must distinguish persistent-memory incidents, causal confidence, blast radius, anti-forensics, and recovery completeness.</x:v>
      </x:c>
      <x:c r="K79" s="96" t="str">
        <x:v>Complete PDF</x:v>
      </x:c>
      <x:c r="L79" s="96" t="str">
        <x:v>/mnt/data/2606.04990v4.pdf</x:v>
      </x:c>
      <x:c r="M79" s="96" t="str">
        <x:v>Yes</x:v>
      </x:c>
      <x:c r="N79" s="96" t="str">
        <x:v>Yes</x:v>
      </x:c>
      <x:c r="O79" s="96" t="str">
        <x:v>Not required</x:v>
      </x:c>
      <x:c r="P79" s="96" t="str">
        <x:v>Matches corpus ID 2. Treat as a principal competing survey in the positioning section.</x:v>
      </x:c>
      <x:c r="Q79" s="96" t="str">
        <x:v>2026-07-16</x:v>
      </x:c>
    </x:row>
    <x:row r="80">
      <x:c r="A80" s="96" t="n">
        <x:v>7</x:v>
      </x:c>
      <x:c r="B80" s="96" t="n">
        <x:v>1</x:v>
      </x:c>
      <x:c r="C80" s="96" t="str">
        <x:v>2604.16548v2 (1).pdf</x:v>
      </x:c>
      <x:c r="D80" s="96" t="str">
        <x:v>A Survey on Long-Term Memory Security in LLM Agents: Attacks, Defenses, and Governance Across the Memory Lifecycle</x:v>
      </x:c>
      <x:c r="E80" s="96" t="str">
        <x:v>Zehao Lin et al.</x:v>
      </x:c>
      <x:c r="F80" s="96" t="n">
        <x:v>2026</x:v>
      </x:c>
      <x:c r="G80" s="96" t="str">
        <x:v>arXiv preprint</x:v>
      </x:c>
      <x:c r="H80" s="96" t="str">
        <x:v>Survey / LTM security</x:v>
      </x:c>
      <x:c r="I80" s="96" t="str">
        <x:v>Background / primary competitor</x:v>
      </x:c>
      <x:c r="J80" s="96" t="str">
        <x:v>Primary competing survey organising attacks and defenses across six memory-lifecycle phases and four security objectives, with Verifiable Memory Governance primitives. It does not centre post-incident evidence sufficiency and causal reconstruction.</x:v>
      </x:c>
      <x:c r="K80" s="96" t="str">
        <x:v>Complete PDF</x:v>
      </x:c>
      <x:c r="L80" s="96" t="str">
        <x:v>/mnt/data/2604.16548v2 (1).pdf</x:v>
      </x:c>
      <x:c r="M80" s="96" t="str">
        <x:v>Yes</x:v>
      </x:c>
      <x:c r="N80" s="96" t="str">
        <x:v>Yes</x:v>
      </x:c>
      <x:c r="O80" s="96" t="str">
        <x:v>Not required</x:v>
      </x:c>
      <x:c r="P80" s="96" t="str">
        <x:v>Matches corpus ID 1. Must anchor the overlap and differentiation analysis.</x:v>
      </x:c>
      <x:c r="Q80" s="96" t="str">
        <x:v>2026-07-16</x:v>
      </x:c>
    </x:row>
  </x:sheetData>
  <x:mergeCells>
    <x:mergeCell ref="A1:Q1"/>
    <x:mergeCell ref="A2:Q2"/>
  </x:mergeCells>
  <x:conditionalFormatting sqref="I5:I500">
    <x:cfRule type="expression" dxfId="7" priority="1">
      <x:formula>I5="Include candidate"</x:formula>
    </x:cfRule>
    <x:cfRule type="expression" dxfId="8" priority="2">
      <x:formula>I5="Exclude"</x:formula>
    </x:cfRule>
  </x:conditionalFormatting>
  <x:conditionalFormatting sqref="K5:K500">
    <x:cfRule type="expression" dxfId="9" priority="3">
      <x:formula>K5="Incomplete / unusable"</x:formula>
    </x:cfRule>
  </x:conditionalFormatting>
  <x:conditionalFormatting sqref="O5:O500">
    <x:cfRule type="expression" dxfId="10" priority="4">
      <x:formula>O5="Ready for extraction"</x:formula>
    </x:cfRule>
  </x:conditionalFormatting>
  <x:dataValidations count="3">
    <x:dataValidation type="list" sqref="I5:I500">
      <x:formula1>"Include candidate,Adjacent,Background,Exclude,Uncertain"</x:formula1>
    </x:dataValidation>
    <x:dataValidation type="list" sqref="K5:K500">
      <x:formula1>"Complete PDF,Incomplete / unusable,Duplicate,Corrupt,Missing"</x:formula1>
    </x:dataValidation>
    <x:dataValidation type="list" sqref="O5:O500">
      <x:formula1>"Not started,Ready for extraction,In progress,Complete,Not required,Blocked"</x:formula1>
    </x:dataValidation>
  </x:dataValidations>
  <x:pageMargins left="0.7" right="0.7" top="0.75" bottom="0.75" header="0.3" footer="0.3"/>
  <x:tableParts count="1">
    <x:tablePart xmlns:r="http://schemas.openxmlformats.org/officeDocument/2006/relationships" r:id="Re2e56ca17bf74178"/>
  </x:tableParts>
</x:worksheet>
</file>
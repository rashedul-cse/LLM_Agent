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1e3e496c5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6badbeaa6c476c"/>
    <x:sheet xmlns:r="http://schemas.openxmlformats.org/officeDocument/2006/relationships" name="Core Studies" sheetId="2" r:id="R146a273b9135426b"/>
    <x:sheet xmlns:r="http://schemas.openxmlformats.org/officeDocument/2006/relationships" name="Attack Matrix" sheetId="3" r:id="Rb143af0d151c4f0a"/>
    <x:sheet xmlns:r="http://schemas.openxmlformats.org/officeDocument/2006/relationships" name="Defence &amp; Systems" sheetId="4" r:id="R6f71ab45912f4452"/>
    <x:sheet xmlns:r="http://schemas.openxmlformats.org/officeDocument/2006/relationships" name="Benchmarks" sheetId="5" r:id="R78d25e894cd84fa5"/>
    <x:sheet xmlns:r="http://schemas.openxmlformats.org/officeDocument/2006/relationships" name="Related Surveys" sheetId="6" r:id="R7c6ef81a805e415a"/>
    <x:sheet xmlns:r="http://schemas.openxmlformats.org/officeDocument/2006/relationships" name="Adjacent Literature" sheetId="7" r:id="R62823812bb924bb4"/>
    <x:sheet xmlns:r="http://schemas.openxmlformats.org/officeDocument/2006/relationships" name="Writing Map" sheetId="8" r:id="Rca2b52c4e4a94f3c"/>
    <x:sheet xmlns:r="http://schemas.openxmlformats.org/officeDocument/2006/relationships" name="Dashboard" sheetId="9" r:id="R064292fb1fa64d4c"/>
    <x:sheet xmlns:r="http://schemas.openxmlformats.org/officeDocument/2006/relationships" name="Submission Checklist" sheetId="10" r:id="R7e2a2528d80c4876"/>
    <x:sheet xmlns:r="http://schemas.openxmlformats.org/officeDocument/2006/relationships" name="Appendix A Census" sheetId="11" r:id="R01419e65036e4e87"/>
    <x:sheet xmlns:r="http://schemas.openxmlformats.org/officeDocument/2006/relationships" name="Capability Values" sheetId="12" r:id="Rcc01aff80d27486d"/>
    <x:sheet xmlns:r="http://schemas.openxmlformats.org/officeDocument/2006/relationships" name="Attack Distribution" sheetId="13" r:id="R3583fd67c9084765"/>
    <x:sheet xmlns:r="http://schemas.openxmlformats.org/officeDocument/2006/relationships" name="MEIRC Retrospective" sheetId="14" r:id="R23c348cbb10b49bb"/>
    <x:sheet xmlns:r="http://schemas.openxmlformats.org/officeDocument/2006/relationships" name="Benchmark Symbols" sheetId="15" r:id="Rce5bc5ad8383494f"/>
    <x:sheet xmlns:r="http://schemas.openxmlformats.org/officeDocument/2006/relationships" name="Survey Coverage Scores" sheetId="16" r:id="R323108f256f14bc6"/>
    <x:sheet xmlns:r="http://schemas.openxmlformats.org/officeDocument/2006/relationships" name="Reviewer Value Notes" sheetId="17" r:id="R2b47e3f0ed43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7"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e21ec43ed469e" /><Relationship Type="http://schemas.openxmlformats.org/officeDocument/2006/relationships/theme" Target="/xl/theme/theme1.xml" Id="Rc74d320e085a476a" /><Relationship Type="http://schemas.openxmlformats.org/officeDocument/2006/relationships/sharedStrings" Target="/xl/sharedStrings.xml" Id="Ree28a98778604769" /><Relationship Type="http://schemas.openxmlformats.org/officeDocument/2006/relationships/worksheet" Target="/xl/worksheets/sheet1.xml" Id="Rf96badbeaa6c476c" /><Relationship Type="http://schemas.openxmlformats.org/officeDocument/2006/relationships/worksheet" Target="/xl/worksheets/sheet2.xml" Id="R146a273b9135426b" /><Relationship Type="http://schemas.openxmlformats.org/officeDocument/2006/relationships/worksheet" Target="/xl/worksheets/sheet3.xml" Id="Rb143af0d151c4f0a" /><Relationship Type="http://schemas.openxmlformats.org/officeDocument/2006/relationships/worksheet" Target="/xl/worksheets/sheet4.xml" Id="R6f71ab45912f4452" /><Relationship Type="http://schemas.openxmlformats.org/officeDocument/2006/relationships/worksheet" Target="/xl/worksheets/sheet5.xml" Id="R78d25e894cd84fa5" /><Relationship Type="http://schemas.openxmlformats.org/officeDocument/2006/relationships/worksheet" Target="/xl/worksheets/sheet6.xml" Id="R7c6ef81a805e415a" /><Relationship Type="http://schemas.openxmlformats.org/officeDocument/2006/relationships/worksheet" Target="/xl/worksheets/sheet7.xml" Id="R62823812bb924bb4" /><Relationship Type="http://schemas.openxmlformats.org/officeDocument/2006/relationships/worksheet" Target="/xl/worksheets/sheet8.xml" Id="Rca2b52c4e4a94f3c" /><Relationship Type="http://schemas.openxmlformats.org/officeDocument/2006/relationships/worksheet" Target="/xl/worksheets/sheet9.xml" Id="R064292fb1fa64d4c" /><Relationship Type="http://schemas.openxmlformats.org/officeDocument/2006/relationships/worksheet" Target="/xl/worksheets/sheet10.xml" Id="R7e2a2528d80c4876" /><Relationship Type="http://schemas.openxmlformats.org/officeDocument/2006/relationships/worksheet" Target="/xl/worksheets/sheet11.xml" Id="R01419e65036e4e87" /><Relationship Type="http://schemas.openxmlformats.org/officeDocument/2006/relationships/worksheet" Target="/xl/worksheets/sheet12.xml" Id="Rcc01aff80d27486d" /><Relationship Type="http://schemas.openxmlformats.org/officeDocument/2006/relationships/worksheet" Target="/xl/worksheets/sheet13.xml" Id="R3583fd67c9084765" /><Relationship Type="http://schemas.openxmlformats.org/officeDocument/2006/relationships/worksheet" Target="/xl/worksheets/sheet14.xml" Id="R23c348cbb10b49bb" /><Relationship Type="http://schemas.openxmlformats.org/officeDocument/2006/relationships/worksheet" Target="/xl/worksheets/sheet15.xml" Id="Rce5bc5ad8383494f" /><Relationship Type="http://schemas.openxmlformats.org/officeDocument/2006/relationships/worksheet" Target="/xl/worksheets/sheet16.xml" Id="R323108f256f14bc6" /><Relationship Type="http://schemas.openxmlformats.org/officeDocument/2006/relationships/worksheet" Target="/xl/worksheets/sheet17.xml" Id="R2b47e3f0ed43499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c29f6f1d1c44d2" /><Relationship Type="http://schemas.openxmlformats.org/officeDocument/2006/relationships/chart" Target="/xl/drawings/charts/chart2.xml" Id="Reba78f64d6924b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Core Evidence by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Explicit Forensic Capability Coverage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'Dashboard'!$G$4:$G$8</c:f>
              <c:strCache>
                <c:ptCount val="0"/>
              </c:strCache>
            </c:strRef>
          </c:cat>
          <c:val>
            <c:numRef>
              <c:f>'Dashboard'!$H$4:$H$8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c29f6f1d1c44d2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78f64d6924b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eStudiesTable" displayName="CoreStudiesTable" ref="A3:AC42" headerRowCount="1">
  <x:tableColumns count="29">
    <x:tableColumn id="1" name="ID"/>
    <x:tableColumn id="2" name="Full title"/>
    <x:tableColumn id="3" name="Authors"/>
    <x:tableColumn id="4" name="Year"/>
    <x:tableColumn id="5" name="Publication status"/>
    <x:tableColumn id="6" name="Venue"/>
    <x:tableColumn id="7" name="DOI / arXiv / ID"/>
    <x:tableColumn id="8" name="PDF file"/>
    <x:tableColumn id="9" name="Evidence group"/>
    <x:tableColumn id="10" name="Memory form"/>
    <x:tableColumn id="11" name="Agent setting"/>
    <x:tableColumn id="12" name="Primary lifecycle phase"/>
    <x:tableColumn id="13" name="Attack / control mechanism"/>
    <x:tableColumn id="14" name="Attacker access / trust assumption"/>
    <x:tableColumn id="15" name="Activation / persistence"/>
    <x:tableColumn id="16" name="Concise study contribution"/>
    <x:tableColumn id="17" name="Key reported result"/>
    <x:tableColumn id="18" name="Forensic artefacts available"/>
    <x:tableColumn id="19" name="Provenance"/>
    <x:tableColumn id="20" name="Source attribution"/>
    <x:tableColumn id="21" name="Causal reconstruction"/>
    <x:tableColumn id="22" name="Blast-radius support"/>
    <x:tableColumn id="23" name="Recovery support"/>
    <x:tableColumn id="24" name="PDF status"/>
    <x:tableColumn id="25" name="Uploaded filename"/>
    <x:tableColumn id="26" name="Main manuscript role"/>
    <x:tableColumn id="27" name="Selection status"/>
    <x:tableColumn id="28" name="Extraction status"/>
    <x:tableColumn id="29" name="Verification note"/>
  </x:tableColumns>
  <x:tableStyleInfo name="TableStyleMedium2" showRowStripes="1"/>
</x:table>
</file>

<file path=xl/tables/table2.xml><?xml version="1.0" encoding="utf-8"?>
<x:table xmlns:x="http://schemas.openxmlformats.org/spreadsheetml/2006/main" id="2" name="AttackMatrixTable" displayName="AttackMatrixTable" ref="A3:Q23" headerRowCount="1">
  <x:tableColumns count="17">
    <x:tableColumn id="1" name="ID"/>
    <x:tableColumn id="2" name="Study"/>
    <x:tableColumn id="3" name="Attack / failure class"/>
    <x:tableColumn id="4" name="Entry channel"/>
    <x:tableColumn id="5" name="Attacker capability"/>
    <x:tableColumn id="6" name="Memory target"/>
    <x:tableColumn id="7" name="Lifecycle point"/>
    <x:tableColumn id="8" name="Activation pattern"/>
    <x:tableColumn id="9" name="Downstream consequence"/>
    <x:tableColumn id="10" name="Persistence scope"/>
    <x:tableColumn id="11" name="Evidence left"/>
    <x:tableColumn id="12" name="Evidence obscured / missing"/>
    <x:tableColumn id="13" name="Attribution value"/>
    <x:tableColumn id="14" name="Recovery difficulty"/>
    <x:tableColumn id="15" name="Key metric / result"/>
    <x:tableColumn id="16" name="Manuscript subsection"/>
    <x:tableColumn id="17" name="Verification"/>
  </x:tableColumns>
  <x:tableStyleInfo name="TableStyleMedium2" showRowStripes="1"/>
</x:table>
</file>

<file path=xl/tables/table3.xml><?xml version="1.0" encoding="utf-8"?>
<x:table xmlns:x="http://schemas.openxmlformats.org/spreadsheetml/2006/main" id="3" name="DefenceSystemsTable" displayName="DefenceSystemsTable" ref="A3:R15" headerRowCount="1">
  <x:tableColumns count="18">
    <x:tableColumn id="1" name="ID"/>
    <x:tableColumn id="2" name="Study"/>
    <x:tableColumn id="3" name="Type"/>
    <x:tableColumn id="4" name="Protected lifecycle stage"/>
    <x:tableColumn id="5" name="Threat addressed"/>
    <x:tableColumn id="6" name="Core method"/>
    <x:tableColumn id="7" name="Trust assumptions"/>
    <x:tableColumn id="8" name="Prevention"/>
    <x:tableColumn id="9" name="Detection"/>
    <x:tableColumn id="10" name="Evidence preservation"/>
    <x:tableColumn id="11" name="Provenance"/>
    <x:tableColumn id="12" name="Attribution"/>
    <x:tableColumn id="13" name="Causal reconstruction"/>
    <x:tableColumn id="14" name="Blast radius"/>
    <x:tableColumn id="15" name="Rollback / recovery"/>
    <x:tableColumn id="16" name="Key reported result"/>
    <x:tableColumn id="17" name="Main limitation / verification"/>
    <x:tableColumn id="18" name="Manuscript role"/>
  </x:tableColumns>
  <x:tableStyleInfo name="TableStyleMedium2" showRowStripes="1"/>
</x:table>
</file>

<file path=xl/tables/table4.xml><?xml version="1.0" encoding="utf-8"?>
<x:table xmlns:x="http://schemas.openxmlformats.org/spreadsheetml/2006/main" id="4" name="BenchmarksTable" displayName="BenchmarksTable" ref="A3:P11" headerRowCount="1">
  <x:tableColumns count="16">
    <x:tableColumn id="1" name="ID"/>
    <x:tableColumn id="2" name="Benchmark"/>
    <x:tableColumn id="3" name="Year"/>
    <x:tableColumn id="4" name="Persistent memory"/>
    <x:tableColumn id="5" name="Attack / failure ground truth"/>
    <x:tableColumn id="6" name="Privacy"/>
    <x:tableColumn id="7" name="Provenance ground truth"/>
    <x:tableColumn id="8" name="Retrieval trace"/>
    <x:tableColumn id="9" name="Memory-to-action ground truth"/>
    <x:tableColumn id="10" name="Multi-agent / multi-principal"/>
    <x:tableColumn id="11" name="Temporal persistence"/>
    <x:tableColumn id="12" name="Forgetting / recovery"/>
    <x:tableColumn id="13" name="Primary metrics"/>
    <x:tableColumn id="14" name="Forensic value"/>
    <x:tableColumn id="15" name="Current gap"/>
    <x:tableColumn id="16" name="Use in manuscript"/>
  </x:tableColumns>
  <x:tableStyleInfo name="TableStyleMedium2" showRowStripes="1"/>
</x:table>
</file>

<file path=xl/tables/table5.xml><?xml version="1.0" encoding="utf-8"?>
<x:table xmlns:x="http://schemas.openxmlformats.org/spreadsheetml/2006/main" id="5" name="RelatedSurveysTable" displayName="RelatedSurveysTable" ref="A3:N12" headerRowCount="1">
  <x:tableColumns count="14">
    <x:tableColumn id="1" name="ID"/>
    <x:tableColumn id="2" name="Survey"/>
    <x:tableColumn id="3" name="Authors"/>
    <x:tableColumn id="4" name="Year"/>
    <x:tableColumn id="5" name="Status / venue"/>
    <x:tableColumn id="6" name="Primary scope"/>
    <x:tableColumn id="7" name="Lifecycle security"/>
    <x:tableColumn id="8" name="Memory provenance"/>
    <x:tableColumn id="9" name="Incident reconstruction"/>
    <x:tableColumn id="10" name="Causal confidence"/>
    <x:tableColumn id="11" name="Blast-radius analysis"/>
    <x:tableColumn id="12" name="Anti-forensics"/>
    <x:tableColumn id="13" name="Recovery completeness"/>
    <x:tableColumn id="14" name="How this paper differs"/>
  </x:tableColumns>
  <x:tableStyleInfo name="TableStyleMedium2" showRowStripes="1"/>
</x:table>
</file>

<file path=xl/tables/table6.xml><?xml version="1.0" encoding="utf-8"?>
<x:table xmlns:x="http://schemas.openxmlformats.org/spreadsheetml/2006/main" id="6" name="AdjacentLiteratureTable" displayName="AdjacentLiteratureTable" ref="A3:K39" headerRowCount="1">
  <x:tableColumns count="11">
    <x:tableColumn id="1" name="Study ID"/>
    <x:tableColumn id="2" name="Title"/>
    <x:tableColumn id="3" name="Authors"/>
    <x:tableColumn id="4" name="Year"/>
    <x:tableColumn id="5" name="Source"/>
    <x:tableColumn id="6" name="Role"/>
    <x:tableColumn id="7" name="Reason not counted as core"/>
    <x:tableColumn id="8" name="How it is used"/>
    <x:tableColumn id="9" name="PDF file"/>
    <x:tableColumn id="10" name="Metadata status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WritingMapTable" displayName="WritingMapTable" ref="A3:I17" headerRowCount="1">
  <x:tableColumns count="9">
    <x:tableColumn id="1" name="Manuscript section"/>
    <x:tableColumn id="2" name="Purpose"/>
    <x:tableColumn id="3" name="Core studies / IDs"/>
    <x:tableColumn id="4" name="Related surveys / foundations"/>
    <x:tableColumn id="5" name="Required table or figure"/>
    <x:tableColumn id="6" name="Quantitative claim to report"/>
    <x:tableColumn id="7" name="Current evidence status"/>
    <x:tableColumn id="8" name="Remaining verification"/>
    <x:tableColumn id="9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SubmissionChecklistTable" displayName="SubmissionChecklistTable" ref="A3:G14" headerRowCount="1">
  <x:tableColumns count="7">
    <x:tableColumn id="1" name="Task"/>
    <x:tableColumn id="2" name="Status"/>
    <x:tableColumn id="3" name="Owner"/>
    <x:tableColumn id="4" name="Evidence / sheet"/>
    <x:tableColumn id="5" name="Required output"/>
    <x:tableColumn id="6" name="Risk if incomplete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AppendixACensusTable" displayName="AppendixACensusTable" ref="A3:L42" headerRowCount="1">
  <x:tableColumns count="12">
    <x:tableColumn id="1" name="ID"/>
    <x:tableColumn id="2" name="Study"/>
    <x:tableColumn id="3" name="Authors"/>
    <x:tableColumn id="4" name="Year"/>
    <x:tableColumn id="5" name="Publication status"/>
    <x:tableColumn id="6" name="Evidence role"/>
    <x:tableColumn id="7" name="Provenance"/>
    <x:tableColumn id="8" name="Attribution"/>
    <x:tableColumn id="9" name="Causal reconstruction"/>
    <x:tableColumn id="10" name="Blast radius"/>
    <x:tableColumn id="11" name="Recovery"/>
    <x:tableColumn id="12" name="DOI / arXiv / ID"/>
  </x:tableColumns>
  <x:tableStyleInfo name="TableStyleMedium2" showRowStripes="1"/>
</x:table>
</file>

<file path=xl/tables/table10.xml><?xml version="1.0" encoding="utf-8"?>
<x:table xmlns:x="http://schemas.openxmlformats.org/spreadsheetml/2006/main" id="10" name="AttackDistributionTable" displayName="AttackDistributionTable" ref="A3:F34" headerRowCount="1">
  <x:tableColumns count="6">
    <x:tableColumn id="1" name="Dimension"/>
    <x:tableColumn id="2" name="Category"/>
    <x:tableColumn id="3" name="Count"/>
    <x:tableColumn id="4" name="Share of 19"/>
    <x:tableColumn id="5" name="Study IDs"/>
    <x:tableColumn id="6" name="Coding note"/>
  </x:tableColumns>
  <x:tableStyleInfo name="TableStyleMedium2" showRowStripes="1"/>
</x:table>
</file>

<file path=xl/tables/table11.xml><?xml version="1.0" encoding="utf-8"?>
<x:table xmlns:x="http://schemas.openxmlformats.org/spreadsheetml/2006/main" id="11" name="MEIRCRetrospectiveTable" displayName="MEIRCRetrospectiveTable" ref="A3:K6" headerRowCount="1">
  <x:tableColumns count="11">
    <x:tableColumn id="1" name="Study"/>
    <x:tableColumn id="2" name="Source/acquisition"/>
    <x:tableColumn id="3" name="Formation"/>
    <x:tableColumn id="4" name="Persistence"/>
    <x:tableColumn id="5" name="Retrieval"/>
    <x:tableColumn id="6" name="Decision"/>
    <x:tableColumn id="7" name="Action"/>
    <x:tableColumn id="8" name="Propagation"/>
    <x:tableColumn id="9" name="Recovery"/>
    <x:tableColumn id="10" name="Maximum causal level"/>
    <x:tableColumn id="11" name="Verification note"/>
  </x:tableColumns>
  <x:tableStyleInfo name="TableStyleMedium2" showRowStripes="1"/>
</x:table>
</file>

<file path=xl/tables/table12.xml><?xml version="1.0" encoding="utf-8"?>
<x:table xmlns:x="http://schemas.openxmlformats.org/spreadsheetml/2006/main" id="12" name="BenchmarkSymbolsTable" displayName="BenchmarkSymbolsTable" ref="A3:K11" headerRowCount="1">
  <x:tableColumns count="11">
    <x:tableColumn id="1" name="ID"/>
    <x:tableColumn id="2" name="Benchmark"/>
    <x:tableColumn id="3" name="Persistent memory"/>
    <x:tableColumn id="4" name="Attack/failure GT"/>
    <x:tableColumn id="5" name="Privacy"/>
    <x:tableColumn id="6" name="Provenance GT"/>
    <x:tableColumn id="7" name="Retrieval trace"/>
    <x:tableColumn id="8" name="Memory→action GT"/>
    <x:tableColumn id="9" name="Multi-agent/principal"/>
    <x:tableColumn id="10" name="Temporal persistence"/>
    <x:tableColumn id="11" name="Forgetting/recovery"/>
  </x:tableColumns>
  <x:tableStyleInfo name="TableStyleMedium2" showRowStripes="1"/>
</x:table>
</file>

<file path=xl/tables/table13.xml><?xml version="1.0" encoding="utf-8"?>
<x:table xmlns:x="http://schemas.openxmlformats.org/spreadsheetml/2006/main" id="13" name="SurveyCoverageScoresTable" displayName="SurveyCoverageScoresTable" ref="A3:K6" headerRowCount="1">
  <x:tableColumns count="11">
    <x:tableColumn id="1" name="Survey"/>
    <x:tableColumn id="2" name="Lifecycle"/>
    <x:tableColumn id="3" name="Memory provenance"/>
    <x:tableColumn id="4" name="Incident reconstruction"/>
    <x:tableColumn id="5" name="Causal confidence"/>
    <x:tableColumn id="6" name="Blast radius"/>
    <x:tableColumn id="7" name="Anti-forensics"/>
    <x:tableColumn id="8" name="Recovery completeness"/>
    <x:tableColumn id="9" name="Score / 7"/>
    <x:tableColumn id="10" name="Coverage %"/>
    <x:tableColumn id="11" name="Interpretation"/>
  </x:tableColumns>
  <x:tableStyleInfo name="TableStyleMedium2" showRowStripes="1"/>
</x:table>
</file>

<file path=xl/tables/table14.xml><?xml version="1.0" encoding="utf-8"?>
<x:table xmlns:x="http://schemas.openxmlformats.org/spreadsheetml/2006/main" id="14" name="ReviewerValueNotesTable" displayName="ReviewerValueNotesTable" ref="A3:D14" headerRowCount="1">
  <x:tableColumns count="4">
    <x:tableColumn id="1" name="Requested item"/>
    <x:tableColumn id="2" name="Status"/>
    <x:tableColumn id="3" name="Prepared sheet"/>
    <x:tableColumn id="4" name="Action still requir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0719d7b2cb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335632fe7d40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b3e62723484c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e6e4f1bd614d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7bd34a18984c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4db0e771714d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eb373a394f4a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806e9b712d3a44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515764bc990434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9fd43079cd4c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a9fec47887413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20b64019b624f3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14e4be796f99439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690e44b072f34ae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f216ae8351f4492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" t="str">
        <x:v>Clean Evidence Workbook — Persistent-Memory LLM Agent Forensics Survey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Workbook purpose</x:v>
      </x:c>
      <x:c r="B3" s="14" t="str">
        <x:v>This workbook is the clean evidence base for writing the survey. It separates core primary studies from adjacent literature and surveys.</x:v>
      </x:c>
    </x:row>
    <x:row r="4">
      <x:c r="A4" s="10" t="str">
        <x:v>Current uploaded corpus</x:v>
      </x:c>
      <x:c r="B4" s="14" t="str">
        <x:v>75 completed PDFs logged from seven upload batches, plus one incomplete browser download.</x:v>
      </x:c>
    </x:row>
    <x:row r="5">
      <x:c r="A5" s="10" t="str">
        <x:v>Core primary studies</x:v>
      </x:c>
      <x:c r="B5" s="14" t="str">
        <x:v>39 studies currently satisfy the working inclusion boundary and are listed in Core Studies.</x:v>
      </x:c>
    </x:row>
    <x:row r="6">
      <x:c r="A6" s="10" t="str">
        <x:v>Background / adjacent</x:v>
      </x:c>
      <x:c r="B6" s="14" t="str">
        <x:v>36 uploaded papers are retained for architecture, RAG comparison, general agent security, forensics, governance, and standards.</x:v>
      </x:c>
    </x:row>
    <x:row r="7">
      <x:c r="A7" s="10" t="str">
        <x:v>Primary review identity</x:v>
      </x:c>
      <x:c r="B7" s="14" t="str">
        <x:v>Structured scoping survey and systematisation of knowledge; not an exhaustive PRISMA review.</x:v>
      </x:c>
    </x:row>
    <x:row r="8">
      <x:c r="A8" s="10" t="str">
        <x:v>Inclusion boundary</x:v>
      </x:c>
      <x:c r="B8" s="14" t="str">
        <x:v>Persistent operational memory or closely coupled durable state that influences later agent reasoning/action, plus security, forensic, provenance, governance, or recovery relevance.</x:v>
      </x:c>
    </x:row>
    <x:row r="9">
      <x:c r="A9" s="10" t="str">
        <x:v>Core Studies</x:v>
      </x:c>
      <x:c r="B9" s="14" t="str">
        <x:v>Bibliography, scope coding, contribution, reported results, forensic capabilities, and manuscript role.</x:v>
      </x:c>
    </x:row>
    <x:row r="10">
      <x:c r="A10" s="10" t="str">
        <x:v>Attack Matrix</x:v>
      </x:c>
      <x:c r="B10" s="14" t="str">
        <x:v>Attack-focused synthesis by entry channel, targeted memory operation, activation, evidence, and forensic effect.</x:v>
      </x:c>
    </x:row>
    <x:row r="11">
      <x:c r="A11" s="10" t="str">
        <x:v>Defence &amp; Systems</x:v>
      </x:c>
      <x:c r="B11" s="14" t="str">
        <x:v>Defence, provenance, governance, verification, detection, and recovery studies.</x:v>
      </x:c>
    </x:row>
    <x:row r="12">
      <x:c r="A12" s="10" t="str">
        <x:v>Benchmarks</x:v>
      </x:c>
      <x:c r="B12" s="14" t="str">
        <x:v>Benchmark coverage against persistence, privacy, provenance, memory-to-action, propagation, and recovery.</x:v>
      </x:c>
    </x:row>
    <x:row r="13">
      <x:c r="A13" s="10" t="str">
        <x:v>Related Surveys</x:v>
      </x:c>
      <x:c r="B13" s="14" t="str">
        <x:v>Direct comparison with lifecycle-security, provenance, always-on-state, memory-mechanism, RAG, and broad agent-security surveys.</x:v>
      </x:c>
    </x:row>
    <x:row r="14">
      <x:c r="A14" s="10" t="str">
        <x:v>Adjacent Literature</x:v>
      </x:c>
      <x:c r="B14" s="14" t="str">
        <x:v>Papers useful for context but not counted as core evidence.</x:v>
      </x:c>
    </x:row>
    <x:row r="15">
      <x:c r="A15" s="10" t="str">
        <x:v>Writing Map</x:v>
      </x:c>
      <x:c r="B15" s="14" t="str">
        <x:v>What evidence supports each manuscript section and which studies must be cited.</x:v>
      </x:c>
    </x:row>
    <x:row r="16">
      <x:c r="A16" s="10" t="str">
        <x:v>Completion Flags</x:v>
      </x:c>
      <x:c r="B16" s="14" t="str">
        <x:v>Exact table-level quantitative results and final bibliographic details marked 'Verify' should be checked before submission.</x:v>
      </x:c>
    </x:row>
    <x:row r="17">
      <x:c r="A17" s="10" t="str">
        <x:v>Do not report</x:v>
      </x:c>
      <x:c r="B17" s="14" t="str">
        <x:v>Do not state that all 82 candidate records are included studies. The current core set is 39.</x:v>
      </x:c>
    </x:row>
    <x:row r="18">
      <x:c r="A18" s="10" t="str">
        <x:v>Next action</x:v>
      </x:c>
      <x:c r="B18" s="14" t="str">
        <x:v>Use this workbook to write the evidence synthesis, then verify exact metrics/DOIs for the final bibliography.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4" hidden="0" customWidth="1"/>
    <x:col min="4" max="4" width="8" hidden="0" customWidth="1"/>
    <x:col min="5" max="5" width="16" hidden="0" customWidth="1"/>
    <x:col min="6" max="6" width="24" hidden="0" customWidth="1"/>
    <x:col min="7" max="7" width="18" hidden="0" customWidth="1"/>
    <x:col min="8" max="8" width="25" hidden="0" customWidth="1"/>
    <x:col min="9" max="9" width="18" hidden="0" customWidth="1"/>
    <x:col min="10" max="10" width="23" hidden="0" customWidth="1"/>
    <x:col min="11" max="11" width="22" hidden="0" customWidth="1"/>
    <x:col min="12" max="12" width="20" hidden="0" customWidth="1"/>
    <x:col min="13" max="13" width="32" hidden="0" customWidth="1"/>
    <x:col min="14" max="14" width="30" hidden="0" customWidth="1"/>
    <x:col min="15" max="15" width="24" hidden="0" customWidth="1"/>
    <x:col min="16" max="16" width="45" hidden="0" customWidth="1"/>
    <x:col min="17" max="17" width="40" hidden="0" customWidth="1"/>
    <x:col min="18" max="18" width="42" hidden="0" customWidth="1"/>
    <x:col min="19" max="19" width="12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6" hidden="0" customWidth="1"/>
    <x:col min="25" max="25" width="25" hidden="0" customWidth="1"/>
    <x:col min="26" max="26" width="35" hidden="0" customWidth="1"/>
    <x:col min="27" max="27" width="14" hidden="0" customWidth="1"/>
    <x:col min="28" max="28" width="18" hidden="0" customWidth="1"/>
    <x:col min="29" max="29" width="32" hidden="0" customWidth="1"/>
  </x:cols>
  <x:sheetData>
    <x:row r="1">
      <x:c r="A1" s="4" t="str">
        <x:v>Core Included Primary Studies (n = 39)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3">
      <x:c r="A3" s="20" t="str">
        <x:v>ID</x:v>
      </x:c>
      <x:c r="B3" s="20" t="str">
        <x:v>Full title</x:v>
      </x:c>
      <x:c r="C3" s="20" t="str">
        <x:v>Authors</x:v>
      </x:c>
      <x:c r="D3" s="20" t="str">
        <x:v>Year</x:v>
      </x:c>
      <x:c r="E3" s="20" t="str">
        <x:v>Publication status</x:v>
      </x:c>
      <x:c r="F3" s="20" t="str">
        <x:v>Venue</x:v>
      </x:c>
      <x:c r="G3" s="20" t="str">
        <x:v>DOI / arXiv / ID</x:v>
      </x:c>
      <x:c r="H3" s="20" t="str">
        <x:v>PDF file</x:v>
      </x:c>
      <x:c r="I3" s="20" t="str">
        <x:v>Evidence group</x:v>
      </x:c>
      <x:c r="J3" s="20" t="str">
        <x:v>Memory form</x:v>
      </x:c>
      <x:c r="K3" s="20" t="str">
        <x:v>Agent setting</x:v>
      </x:c>
      <x:c r="L3" s="20" t="str">
        <x:v>Primary lifecycle phase</x:v>
      </x:c>
      <x:c r="M3" s="20" t="str">
        <x:v>Attack / control mechanism</x:v>
      </x:c>
      <x:c r="N3" s="20" t="str">
        <x:v>Attacker access / trust assumption</x:v>
      </x:c>
      <x:c r="O3" s="20" t="str">
        <x:v>Activation / persistence</x:v>
      </x:c>
      <x:c r="P3" s="20" t="str">
        <x:v>Concise study contribution</x:v>
      </x:c>
      <x:c r="Q3" s="20" t="str">
        <x:v>Key reported result</x:v>
      </x:c>
      <x:c r="R3" s="20" t="str">
        <x:v>Forensic artefacts available</x:v>
      </x:c>
      <x:c r="S3" s="20" t="str">
        <x:v>Provenance</x:v>
      </x:c>
      <x:c r="T3" s="20" t="str">
        <x:v>Source attribution</x:v>
      </x:c>
      <x:c r="U3" s="20" t="str">
        <x:v>Causal reconstruction</x:v>
      </x:c>
      <x:c r="V3" s="20" t="str">
        <x:v>Blast-radius support</x:v>
      </x:c>
      <x:c r="W3" s="20" t="str">
        <x:v>Recovery support</x:v>
      </x:c>
      <x:c r="X3" s="20" t="str">
        <x:v>PDF status</x:v>
      </x:c>
      <x:c r="Y3" s="20" t="str">
        <x:v>Uploaded filename</x:v>
      </x:c>
      <x:c r="Z3" s="20" t="str">
        <x:v>Main manuscript role</x:v>
      </x:c>
      <x:c r="AA3" s="20" t="str">
        <x:v>Selection status</x:v>
      </x:c>
      <x:c r="AB3" s="20" t="str">
        <x:v>Extraction status</x:v>
      </x:c>
      <x:c r="AC3" s="20" t="str">
        <x:v>Verification note</x:v>
      </x:c>
    </x:row>
    <x:row r="4">
      <x:c r="A4" s="14" t="n">
        <x:v>10</x:v>
      </x:c>
      <x:c r="B4" s="14" t="str">
        <x:v>AgentPoison: Red-Teaming LLM Agents via Poisoning Memory or Knowledge Bases</x:v>
      </x:c>
      <x:c r="C4" s="14" t="str">
        <x:v>Zhaorun Chen et al.</x:v>
      </x:c>
      <x:c r="D4" s="14" t="n">
        <x:v>2024</x:v>
      </x:c>
      <x:c r="E4" s="14" t="str">
        <x:v>Peer-reviewed</x:v>
      </x:c>
      <x:c r="F4" s="14" t="str">
        <x:v>NeurIPS 2024</x:v>
      </x:c>
      <x:c r="G4" s="14" t="str">
        <x:v>2407.12784</x:v>
      </x:c>
      <x:c r="H4" s="14" t="str">
        <x:v>NeurIPS-2024-agentpoison-red-teaming-llm-agents-via-poisoning-memory-or-knowledge-bases-Paper-Conference.pdf</x:v>
      </x:c>
      <x:c r="I4" s="14" t="str">
        <x:v>Attack / backdoor</x:v>
      </x:c>
      <x:c r="J4" s="14" t="str">
        <x:v>Episodic / demonstration memory; RAG KB</x:v>
      </x:c>
      <x:c r="K4" s="14" t="str">
        <x:v>Autonomous driving; QA; healthcare</x:v>
      </x:c>
      <x:c r="L4" s="14" t="str">
        <x:v>Store / Retrieve</x:v>
      </x:c>
      <x:c r="M4" s="14" t="str">
        <x:v>Backdoor poisoning with optimized embedding trigger</x:v>
      </x:c>
      <x:c r="N4" s="14" t="str">
        <x:v>Direct write to memory or knowledge base</x:v>
      </x:c>
      <x:c r="O4" s="14" t="str">
        <x:v>Trigger-based; recurrent</x:v>
      </x:c>
      <x:c r="P4" s="14" t="str">
        <x:v>Foundational peer-reviewed backdoor attack on long-term agent memory and RAG knowledge bases using optimized embedding-space triggers.</x:v>
      </x:c>
      <x:c r="Q4" s="14" t="str">
        <x:v>≥80% attack success; &lt;0.1% poison rate; ≤1% benign-performance impact.</x:v>
      </x:c>
      <x:c r="R4" s="14" t="str">
        <x:v>Poisoned records, trigger, retrieval scores, agent outputs/actions</x:v>
      </x:c>
      <x:c r="S4" s="14" t="str">
        <x:v>No</x:v>
      </x:c>
      <x:c r="T4" s="14" t="str">
        <x:v>Partial</x:v>
      </x:c>
      <x:c r="U4" s="14" t="str">
        <x:v>Partial</x:v>
      </x:c>
      <x:c r="V4" s="14" t="str">
        <x:v>No</x:v>
      </x:c>
      <x:c r="W4" s="14" t="str">
        <x:v>No</x:v>
      </x:c>
      <x:c r="X4" s="14" t="str">
        <x:v>Complete PDF</x:v>
      </x:c>
      <x:c r="Y4" s="14" t="str">
        <x:v>NeurIPS-2024-agentpoison-red-teaming-llm-agents-via-poisoning-memory-or-knowledge-bases-Paper-Conference.pdf</x:v>
      </x:c>
      <x:c r="Z4" s="14" t="str">
        <x:v>Attack foundations; direct-write threat model</x:v>
      </x:c>
      <x:c r="AA4" s="14" t="str">
        <x:v>Core include</x:v>
      </x:c>
      <x:c r="AB4" s="14" t="str">
        <x:v>Full text available</x:v>
      </x:c>
      <x:c r="AC4" s="14" t="str">
        <x:v>Matches corpus ID 10. Extract poison rate, retrieval rate, ASR, benign utility, transferability, and direct-write assumption.</x:v>
      </x:c>
    </x:row>
    <x:row r="5">
      <x:c r="A5" s="14" t="n">
        <x:v>11</x:v>
      </x:c>
      <x:c r="B5" s="14" t="str">
        <x:v>Memory Injection Attacks on LLM Agents via Query-Only Interaction</x:v>
      </x:c>
      <x:c r="C5" s="14" t="str">
        <x:v>Shen Dong et al.</x:v>
      </x:c>
      <x:c r="D5" s="14" t="n">
        <x:v>2025</x:v>
      </x:c>
      <x:c r="E5" s="14" t="str">
        <x:v>Peer-reviewed</x:v>
      </x:c>
      <x:c r="F5" s="14" t="str">
        <x:v>NeurIPS 2025</x:v>
      </x:c>
      <x:c r="G5" s="14" t="str">
        <x:v>2503.03704</x:v>
      </x:c>
      <x:c r="H5" s="14" t="str">
        <x:v>16400_Memory_Injection_Attacks.pdf</x:v>
      </x:c>
      <x:c r="I5" s="14" t="str">
        <x:v>Attack / query-only injection</x:v>
      </x:c>
      <x:c r="J5" s="14" t="str">
        <x:v>Episodic / demonstration memory</x:v>
      </x:c>
      <x:c r="K5" s="14" t="str">
        <x:v>Multiple LLM-agent domains</x:v>
      </x:c>
      <x:c r="L5" s="14" t="str">
        <x:v>Write / Retrieve</x:v>
      </x:c>
      <x:c r="M5" s="14" t="str">
        <x:v>Query-only memory injection using bridging steps</x:v>
      </x:c>
      <x:c r="N5" s="14" t="str">
        <x:v>Black-box query and output access; no direct memory access</x:v>
      </x:c>
      <x:c r="O5" s="14" t="str">
        <x:v>Victim-term / query-conditioned</x:v>
      </x:c>
      <x:c r="P5" s="14" t="str">
        <x:v>Peer-reviewed query-only attack that induces the agent to generate and store malicious demonstrations without direct memory access.</x:v>
      </x:c>
      <x:c r="Q5" s="14" t="str">
        <x:v>Demonstrates durable malicious writes through normal agent interaction; verify per-agent ASR from paper tables.</x:v>
      </x:c>
      <x:c r="R5" s="14" t="str">
        <x:v>Injection queries, generated demonstrations, retrieval records, harmful reasoning steps</x:v>
      </x:c>
      <x:c r="S5" s="14" t="str">
        <x:v>No</x:v>
      </x:c>
      <x:c r="T5" s="14" t="str">
        <x:v>Partial</x:v>
      </x:c>
      <x:c r="U5" s="14" t="str">
        <x:v>Partial</x:v>
      </x:c>
      <x:c r="V5" s="14" t="str">
        <x:v>No</x:v>
      </x:c>
      <x:c r="W5" s="14" t="str">
        <x:v>No</x:v>
      </x:c>
      <x:c r="X5" s="14" t="str">
        <x:v>Complete PDF</x:v>
      </x:c>
      <x:c r="Y5" s="14" t="str">
        <x:v>16400_Memory_Injection_Attacks.pdf</x:v>
      </x:c>
      <x:c r="Z5" s="14" t="str">
        <x:v>Attack entry channels; query-only injection</x:v>
      </x:c>
      <x:c r="AA5" s="14" t="str">
        <x:v>Core include</x:v>
      </x:c>
      <x:c r="AB5" s="14" t="str">
        <x:v>Full text available</x:v>
      </x:c>
      <x:c r="AC5" s="14" t="str">
        <x:v>Matches corpus ID 11. Extract bridging steps, progressive shortening, agents/domains, injection success, and attack-access assumptions.</x:v>
      </x:c>
    </x:row>
    <x:row r="6">
      <x:c r="A6" s="14" t="n">
        <x:v>12</x:v>
      </x:c>
      <x:c r="B6" s="14" t="str">
        <x:v>Unveiling Privacy Risks in LLM Agent Memory</x:v>
      </x:c>
      <x:c r="C6" s="14" t="str">
        <x:v>Bo Wang et al.</x:v>
      </x:c>
      <x:c r="D6" s="14" t="n">
        <x:v>2025</x:v>
      </x:c>
      <x:c r="E6" s="14" t="str">
        <x:v>Peer-reviewed</x:v>
      </x:c>
      <x:c r="F6" s="14" t="str">
        <x:v>ACL 2025</x:v>
      </x:c>
      <x:c r="G6" s="14" t="str">
        <x:v>2502.13172</x:v>
      </x:c>
      <x:c r="H6" s="14" t="str">
        <x:v>2025.acl-long.1227.pdf</x:v>
      </x:c>
      <x:c r="I6" s="14" t="str">
        <x:v>Attack / privacy extraction</x:v>
      </x:c>
      <x:c r="J6" s="14" t="str">
        <x:v>Historical user–agent interaction memory</x:v>
      </x:c>
      <x:c r="K6" s="14" t="str">
        <x:v>Two representative LLM agents</x:v>
      </x:c>
      <x:c r="L6" s="14" t="str">
        <x:v>Retrieve / Execute</x:v>
      </x:c>
      <x:c r="M6" s="14" t="str">
        <x:v>Black-box memory extraction attack (MEXTRA)</x:v>
      </x:c>
      <x:c r="N6" s="14" t="str">
        <x:v>External black-box querying with varying knowledge levels</x:v>
      </x:c>
      <x:c r="O6" s="14" t="str">
        <x:v>Repeated elicitation</x:v>
      </x:c>
      <x:c r="P6" s="14" t="str">
        <x:v>Peer-reviewed black-box Memory EXTRaction Attack against private user-agent interaction records in long-term memory. Core confidentiality evidence.</x:v>
      </x:c>
      <x:c r="Q6" s="14" t="str">
        <x:v>Shows private long-term-memory records can be extracted; leakage varies with memory and attacker knowledge.</x:v>
      </x:c>
      <x:c r="R6" s="14" t="str">
        <x:v>Attack prompts, retrieved private records, generated disclosures</x:v>
      </x:c>
      <x:c r="S6" s="14" t="str">
        <x:v>No</x:v>
      </x:c>
      <x:c r="T6" s="14" t="str">
        <x:v>No</x:v>
      </x:c>
      <x:c r="U6" s="14" t="str">
        <x:v>Partial</x:v>
      </x:c>
      <x:c r="V6" s="14" t="str">
        <x:v>No</x:v>
      </x:c>
      <x:c r="W6" s="14" t="str">
        <x:v>No</x:v>
      </x:c>
      <x:c r="X6" s="14" t="str">
        <x:v>Complete PDF</x:v>
      </x:c>
      <x:c r="Y6" s="14" t="str">
        <x:v>2025.acl-long.1227.pdf</x:v>
      </x:c>
      <x:c r="Z6" s="14" t="str">
        <x:v>Confidentiality and privacy extraction</x:v>
      </x:c>
      <x:c r="AA6" s="14" t="str">
        <x:v>Core include</x:v>
      </x:c>
      <x:c r="AB6" s="14" t="str">
        <x:v>Full text available</x:v>
      </x:c>
      <x:c r="AC6" s="14" t="str">
        <x:v>Matches corpus ID 12. DOI 10.18653/v1/2025.acl-long.1227; extract attacker knowledge, agents, leakage metrics, and memory-design factors.</x:v>
      </x:c>
    </x:row>
    <x:row r="7">
      <x:c r="A7" s="14" t="n">
        <x:v>13</x:v>
      </x:c>
      <x:c r="B7" s="14" t="str">
        <x:v>Poison Once, Exploit Forever: Environment-Injected Memory Poisoning Attacks on Web Agents</x:v>
      </x:c>
      <x:c r="C7" s="14" t="str">
        <x:v>Wei Zou et al.</x:v>
      </x:c>
      <x:c r="D7" s="14" t="n">
        <x:v>2026</x:v>
      </x:c>
      <x:c r="E7" s="14" t="str">
        <x:v>Preprint</x:v>
      </x:c>
      <x:c r="F7" s="14" t="str">
        <x:v>arXiv</x:v>
      </x:c>
      <x:c r="G7" s="14" t="str">
        <x:v>2604.02623</x:v>
      </x:c>
      <x:c r="H7" s="14" t="str">
        <x:v>2604.02623v2.pdf</x:v>
      </x:c>
      <x:c r="I7" s="14" t="str">
        <x:v>Attack / web-agent memory</x:v>
      </x:c>
      <x:c r="J7" s="14" t="str">
        <x:v>Trajectory memory: raw and consolidated</x:v>
      </x:c>
      <x:c r="K7" s="14" t="str">
        <x:v>Web agents in (Visual)WebArena</x:v>
      </x:c>
      <x:c r="L7" s="14" t="str">
        <x:v>Acquire / Write / Retrieve</x:v>
      </x:c>
      <x:c r="M7" s="14" t="str">
        <x:v>Environment-injected trajectory memory poisoning (eTAMP)</x:v>
      </x:c>
      <x:c r="N7" s="14" t="str">
        <x:v>Controls webpage content only; no memory access</x:v>
      </x:c>
      <x:c r="O7" s="14" t="str">
        <x:v>Cross-session and cross-site</x:v>
      </x:c>
      <x:c r="P7" s="14" t="str">
        <x:v>Direct environment-only poisoning of trajectory memory through manipulated web observations, producing cross-session and cross-site compromise without direct memory access.</x:v>
      </x:c>
      <x:c r="Q7" s="14" t="str">
        <x:v>ASR up to 32.5% (GPT-5-mini), 23.4% (GPT-5.2), 19.5% (GPT-OSS-120B); stress can raise ASR up to 8×.</x:v>
      </x:c>
      <x:c r="R7" s="14" t="str">
        <x:v>Contaminated observations, stored trajectories, retrievals, future web actions</x:v>
      </x:c>
      <x:c r="S7" s="14" t="str">
        <x:v>No</x:v>
      </x:c>
      <x:c r="T7" s="14" t="str">
        <x:v>Partial</x:v>
      </x:c>
      <x:c r="U7" s="14" t="str">
        <x:v>Partial</x:v>
      </x:c>
      <x:c r="V7" s="14" t="str">
        <x:v>Partial</x:v>
      </x:c>
      <x:c r="W7" s="14" t="str">
        <x:v>No</x:v>
      </x:c>
      <x:c r="X7" s="14" t="str">
        <x:v>Complete PDF</x:v>
      </x:c>
      <x:c r="Y7" s="14" t="str">
        <x:v>2604.02623v2.pdf</x:v>
      </x:c>
      <x:c r="Z7" s="14" t="str">
        <x:v>Indirect environmental write channels; web-agent attacks</x:v>
      </x:c>
      <x:c r="AA7" s="14" t="str">
        <x:v>Core include</x:v>
      </x:c>
      <x:c r="AB7" s="14" t="str">
        <x:v>Full text available</x:v>
      </x:c>
      <x:c r="AC7" s="14" t="str">
        <x:v>Matches corpus ID 13. Extract consolidated versus unconsolidated memory, frustration effects, models, tasks, and permission-defense bypass.</x:v>
      </x:c>
    </x:row>
    <x:row r="8">
      <x:c r="A8" s="14" t="n">
        <x:v>14</x:v>
      </x:c>
      <x:c r="B8" s="14" t="str">
        <x:v>InjecMEM: Memory Injection Attack on LLM Agent Memory Systems</x:v>
      </x:c>
      <x:c r="C8" s="14" t="str">
        <x:v>Anonymous authors</x:v>
      </x:c>
      <x:c r="D8" s="14" t="n">
        <x:v>2026</x:v>
      </x:c>
      <x:c r="E8" s="14" t="str">
        <x:v>Preprint</x:v>
      </x:c>
      <x:c r="F8" s="14" t="str">
        <x:v>OpenReview</x:v>
      </x:c>
      <x:c r="G8" s="14" t="str">
        <x:v>QVX6hcJ2um</x:v>
      </x:c>
      <x:c r="H8" s="14" t="str">
        <x:v>18062_InjecMEM_Memory_Injectio.pdf</x:v>
      </x:c>
      <x:c r="I8" s="14" t="str">
        <x:v>Attack / memory injection</x:v>
      </x:c>
      <x:c r="J8" s="14" t="str">
        <x:v>Layered long-term memory (MemoryOS)</x:v>
      </x:c>
      <x:c r="K8" s="14" t="str">
        <x:v>Memory-augmented conversational agents</x:v>
      </x:c>
      <x:c r="L8" s="14" t="str">
        <x:v>Write / Retrieve</x:v>
      </x:c>
      <x:c r="M8" s="14" t="str">
        <x:v>Retriever-agnostic anchor plus adversarial command</x:v>
      </x:c>
      <x:c r="N8" s="14" t="str">
        <x:v>One interaction; optional compromised-tool write path</x:v>
      </x:c>
      <x:c r="O8" s="14" t="str">
        <x:v>Topic-conditioned targeted generation</x:v>
      </x:c>
      <x:c r="P8" s="14" t="str">
        <x:v>Direct one-interaction memory injection against layered MemoryOS using a retriever-agnostic anchor and adversarial command robust to memory drift and fused contexts.</x:v>
      </x:c>
      <x:c r="Q8" s="14" t="str">
        <x:v>Corpus notes report up to 76.6% ASR; verify exact retrieval and persistence values from final tables.</x:v>
      </x:c>
      <x:c r="R8" s="14" t="str">
        <x:v>Injected record, anchor cues, retrieval events, target outputs</x:v>
      </x:c>
      <x:c r="S8" s="14" t="str">
        <x:v>No</x:v>
      </x:c>
      <x:c r="T8" s="14" t="str">
        <x:v>Partial</x:v>
      </x:c>
      <x:c r="U8" s="14" t="str">
        <x:v>Partial</x:v>
      </x:c>
      <x:c r="V8" s="14" t="str">
        <x:v>No</x:v>
      </x:c>
      <x:c r="W8" s="14" t="str">
        <x:v>No</x:v>
      </x:c>
      <x:c r="X8" s="14" t="str">
        <x:v>Complete PDF</x:v>
      </x:c>
      <x:c r="Y8" s="14" t="str">
        <x:v>18062_InjecMEM_Memory_Injectio.pdf</x:v>
      </x:c>
      <x:c r="Z8" s="14" t="str">
        <x:v>Memory-system-specific injection attacks</x:v>
      </x:c>
      <x:c r="AA8" s="14" t="str">
        <x:v>Core include</x:v>
      </x:c>
      <x:c r="AB8" s="14" t="str">
        <x:v>Full text available</x:v>
      </x:c>
      <x:c r="AC8" s="14" t="str">
        <x:v>Matches corpus ID 14. Keep authors anonymous until an official version is available; record targeted generation, retrieval rate, persistence, and indirect tool-write path.</x:v>
      </x:c>
    </x:row>
    <x:row r="9">
      <x:c r="A9" s="14" t="n">
        <x:v>15</x:v>
      </x:c>
      <x:c r="B9" s="14" t="str">
        <x:v>MemoryGraft: Persistent Compromise of LLM Agents via Poisoned Experience Retrieval</x:v>
      </x:c>
      <x:c r="C9" s="14" t="str">
        <x:v>Saksham Sahai Srivastava and Haoyu He</x:v>
      </x:c>
      <x:c r="D9" s="14" t="n">
        <x:v>2025</x:v>
      </x:c>
      <x:c r="E9" s="14" t="str">
        <x:v>Preprint</x:v>
      </x:c>
      <x:c r="F9" s="14" t="str">
        <x:v>arXiv</x:v>
      </x:c>
      <x:c r="G9" s="14" t="str">
        <x:v>2512.16962</x:v>
      </x:c>
      <x:c r="H9" s="14" t="str">
        <x:v>2512.16962v1.pdf</x:v>
      </x:c>
      <x:c r="I9" s="14" t="str">
        <x:v>Attack / experience memory</x:v>
      </x:c>
      <x:c r="J9" s="14" t="str">
        <x:v>Experience / procedural memory in RAG store</x:v>
      </x:c>
      <x:c r="K9" s="14" t="str">
        <x:v>MetaGPT DataInterpreter</x:v>
      </x:c>
      <x:c r="L9" s="14" t="str">
        <x:v>Write / Retrieve / Execute</x:v>
      </x:c>
      <x:c r="M9" s="14" t="str">
        <x:v>Poisoned successful experiences exploiting semantic imitation</x:v>
      </x:c>
      <x:c r="N9" s="14" t="str">
        <x:v>Indirect ingestion-level artefacts</x:v>
      </x:c>
      <x:c r="O9" s="14" t="str">
        <x:v>Semantically similar future tasks; trigger-free</x:v>
      </x:c>
      <x:c r="P9" s="14" t="str">
        <x:v>Indirectly implants malicious successful experiences that are later semantically retrieved and imitated, creating trigger-free procedural drift across sessions.</x:v>
      </x:c>
      <x:c r="Q9" s="14" t="str">
        <x:v>Small poisoned sets dominate retrieved experiences and induce persistent behavioral drift; verify exact ratios.</x:v>
      </x:c>
      <x:c r="R9" s="14" t="str">
        <x:v>Poisoned experience templates, retrieved examples, adopted unsafe procedures</x:v>
      </x:c>
      <x:c r="S9" s="14" t="str">
        <x:v>No</x:v>
      </x:c>
      <x:c r="T9" s="14" t="str">
        <x:v>Partial</x:v>
      </x:c>
      <x:c r="U9" s="14" t="str">
        <x:v>Partial</x:v>
      </x:c>
      <x:c r="V9" s="14" t="str">
        <x:v>No</x:v>
      </x:c>
      <x:c r="W9" s="14" t="str">
        <x:v>No</x:v>
      </x:c>
      <x:c r="X9" s="14" t="str">
        <x:v>Complete PDF</x:v>
      </x:c>
      <x:c r="Y9" s="14" t="str">
        <x:v>2512.16962v1.pdf</x:v>
      </x:c>
      <x:c r="Z9" s="14" t="str">
        <x:v>Experience and procedural-memory compromise</x:v>
      </x:c>
      <x:c r="AA9" s="14" t="str">
        <x:v>Core include</x:v>
      </x:c>
      <x:c r="AB9" s="14" t="str">
        <x:v>Full text available</x:v>
      </x:c>
      <x:c r="AC9" s="14" t="str">
        <x:v>Matches corpus ID 15. Core evidence for episodic/procedural memory, semantic imitation, and experience-to-action contamination.</x:v>
      </x:c>
    </x:row>
    <x:row r="10">
      <x:c r="A10" s="14" t="n">
        <x:v>16</x:v>
      </x:c>
      <x:c r="B10" s="14" t="str">
        <x:v>From Storage to Steering: Memory Control Flow Attacks on LLM Agents</x:v>
      </x:c>
      <x:c r="C10" s="14" t="str">
        <x:v>Zhenlin Xu et al.</x:v>
      </x:c>
      <x:c r="D10" s="14" t="n">
        <x:v>2026</x:v>
      </x:c>
      <x:c r="E10" s="14" t="str">
        <x:v>Preprint</x:v>
      </x:c>
      <x:c r="F10" s="14" t="str">
        <x:v>arXiv</x:v>
      </x:c>
      <x:c r="G10" s="14" t="str">
        <x:v>2603.15125</x:v>
      </x:c>
      <x:c r="H10" s="14" t="str">
        <x:v>2603.15125v3.pdf</x:v>
      </x:c>
      <x:c r="I10" s="14" t="str">
        <x:v>Attack / control flow</x:v>
      </x:c>
      <x:c r="J10" s="14" t="str">
        <x:v>Action-oriented policy memory</x:v>
      </x:c>
      <x:c r="K10" s="14" t="str">
        <x:v>LangChain and LlamaIndex tool agents</x:v>
      </x:c>
      <x:c r="L10" s="14" t="str">
        <x:v>Retrieve / Execute</x:v>
      </x:c>
      <x:c r="M10" s="14" t="str">
        <x:v>Memory control-flow attack (MCFA)</x:v>
      </x:c>
      <x:c r="N10" s="14" t="str">
        <x:v>Malicious policy stored in memory</x:v>
      </x:c>
      <x:c r="O10" s="14" t="str">
        <x:v>Cross-task persistent</x:v>
      </x:c>
      <x:c r="P10" s="14" t="str">
        <x:v>Directly shows that stored action-oriented policies can override user instructions and persistently alter tool selection and ordering across tasks.</x:v>
      </x:c>
      <x:c r="Q10" s="14" t="str">
        <x:v>Tool-selection corruption 91.7–100%; tool-order corruption 52.8–69.4%; persistence 97.2–100%.</x:v>
      </x:c>
      <x:c r="R10" s="14" t="str">
        <x:v>Memory reads, plans, tool-selection/order traces, system deviation</x:v>
      </x:c>
      <x:c r="S10" s="14" t="str">
        <x:v>No</x:v>
      </x:c>
      <x:c r="T10" s="14" t="str">
        <x:v>Partial</x:v>
      </x:c>
      <x:c r="U10" s="14" t="str">
        <x:v>Yes</x:v>
      </x:c>
      <x:c r="V10" s="14" t="str">
        <x:v>Partial</x:v>
      </x:c>
      <x:c r="W10" s="14" t="str">
        <x:v>No</x:v>
      </x:c>
      <x:c r="X10" s="14" t="str">
        <x:v>Complete PDF</x:v>
      </x:c>
      <x:c r="Y10" s="14" t="str">
        <x:v>2603.15125v3.pdf</x:v>
      </x:c>
      <x:c r="Z10" s="14" t="str">
        <x:v>Memory-to-action causal chain; tool control flow</x:v>
      </x:c>
      <x:c r="AA10" s="14" t="str">
        <x:v>Core include</x:v>
      </x:c>
      <x:c r="AB10" s="14" t="str">
        <x:v>Full text available</x:v>
      </x:c>
      <x:c r="AC10" s="14" t="str">
        <x:v>Matches corpus ID 16. Extract control-flow traces, persistence horizon, deviation metrics, frameworks, and mitigation results.</x:v>
      </x:c>
    </x:row>
    <x:row r="11">
      <x:c r="A11" s="14" t="n">
        <x:v>17</x:v>
      </x:c>
      <x:c r="B11" s="14" t="str">
        <x:v>Trojan Hippo: Weaponizing Agent Memory for Data Exfiltration</x:v>
      </x:c>
      <x:c r="C11" s="14" t="str">
        <x:v>Debeshee Das et al.</x:v>
      </x:c>
      <x:c r="D11" s="14" t="n">
        <x:v>2026</x:v>
      </x:c>
      <x:c r="E11" s="14" t="str">
        <x:v>Preprint</x:v>
      </x:c>
      <x:c r="F11" s="14" t="str">
        <x:v>arXiv</x:v>
      </x:c>
      <x:c r="G11" s="14" t="str">
        <x:v>2605.01970</x:v>
      </x:c>
      <x:c r="H11" s="14" t="str">
        <x:v>2605.01970v3.pdf</x:v>
      </x:c>
      <x:c r="I11" s="14" t="str">
        <x:v>Attack / exfiltration</x:v>
      </x:c>
      <x:c r="J11" s="14" t="str">
        <x:v>Explicit, Mem0, RAG and context memory backends</x:v>
      </x:c>
      <x:c r="K11" s="14" t="str">
        <x:v>Email assistant</x:v>
      </x:c>
      <x:c r="L11" s="14" t="str">
        <x:v>Write / Retrieve / Execute</x:v>
      </x:c>
      <x:c r="M11" s="14" t="str">
        <x:v>Dormant topic-triggered exfiltration payload</x:v>
      </x:c>
      <x:c r="N11" s="14" t="str">
        <x:v>Single untrusted tool call / crafted email</x:v>
      </x:c>
      <x:c r="O11" s="14" t="str">
        <x:v>Sensitive-topic trigger after long dormancy</x:v>
      </x:c>
      <x:c r="P11" s="14" t="str">
        <x:v>Direct persistent-memory exfiltration attack with single-tool-call ingestion,...</x:v>
      </x:c>
      <x:c r="Q11" s="14" t="str">
        <x:v>85–100% ASR on tested frontier models; activation after 100 benign sessions; defenses reduce ASR to 0–5% with utility costs.</x:v>
      </x:c>
      <x:c r="R11" s="14" t="str">
        <x:v>Email ingestion, memory entry, trigger session, send-email tool call, exfiltrated data</x:v>
      </x:c>
      <x:c r="S11" s="14" t="str">
        <x:v>No</x:v>
      </x:c>
      <x:c r="T11" s="14" t="str">
        <x:v>Partial</x:v>
      </x:c>
      <x:c r="U11" s="14" t="str">
        <x:v>Yes</x:v>
      </x:c>
      <x:c r="V11" s="14" t="str">
        <x:v>Partial</x:v>
      </x:c>
      <x:c r="W11" s="14" t="str">
        <x:v>Partial</x:v>
      </x:c>
      <x:c r="X11" s="14" t="str">
        <x:v>Complete PDF</x:v>
      </x:c>
      <x:c r="Y11" s="14" t="str">
        <x:v>2605.01970v3.pdf</x:v>
      </x:c>
      <x:c r="Z11" s="14" t="str">
        <x:v>Delayed activation; privacy exfiltration; security–utility trade-off</x:v>
      </x:c>
      <x:c r="AA11" s="14" t="str">
        <x:v>Core include</x:v>
      </x:c>
      <x:c r="AB11" s="14" t="str">
        <x:v>Full text available</x:v>
      </x:c>
      <x:c r="AC11" s="14" t="str">
        <x:v>Matches corpus ID 17. Central privacy, delayed activation, evidence-chain, an...</x:v>
      </x:c>
    </x:row>
    <x:row r="12">
      <x:c r="A12" s="14" t="n">
        <x:v>18</x:v>
      </x:c>
      <x:c r="B12" s="14" t="str">
        <x:v>Hidden in Memory: Sleeper Memory Poisoning in LLM Agents</x:v>
      </x:c>
      <x:c r="C12" s="14" t="str">
        <x:v>Sidharth Pulipaka et al.</x:v>
      </x:c>
      <x:c r="D12" s="14" t="n">
        <x:v>2026</x:v>
      </x:c>
      <x:c r="E12" s="14" t="str">
        <x:v>Preprint</x:v>
      </x:c>
      <x:c r="F12" s="14" t="str">
        <x:v>arXiv</x:v>
      </x:c>
      <x:c r="G12" s="14" t="str">
        <x:v>2605.15338</x:v>
      </x:c>
      <x:c r="H12" s="14" t="str">
        <x:v>2605.15338v2.pdf</x:v>
      </x:c>
      <x:c r="I12" s="14" t="str">
        <x:v>Attack / delayed activation</x:v>
      </x:c>
      <x:c r="J12" s="14" t="str">
        <x:v>Persistent user-specific memory</x:v>
      </x:c>
      <x:c r="K12" s="14" t="str">
        <x:v>Stateful assistants with external/internal memory managers</x:v>
      </x:c>
      <x:c r="L12" s="14" t="str">
        <x:v>Acquire / Write / Retrieve / Execute</x:v>
      </x:c>
      <x:c r="M12" s="14" t="str">
        <x:v>Universal sleeper memory poisoning</x:v>
      </x:c>
      <x:c r="N12" s="14" t="str">
        <x:v>Controls external document, webpage, email or repository</x:v>
      </x:c>
      <x:c r="O12" s="14" t="str">
        <x:v>Delayed across future conversations</x:v>
      </x:c>
      <x:c r="P12" s="14" t="str">
        <x:v>Direct three-stage persistent-memory attack covering write, later retrieval, ...</x:v>
      </x:c>
      <x:c r="Q12" s="14" t="str">
        <x:v>Memory write up to 99.8%; retrieved poisoned memories cause intended behavior in 60–89%; end-to-end 41.0–73.9%.</x:v>
      </x:c>
      <x:c r="R12" s="14" t="str">
        <x:v>Tampered source, write decision, stored memory, later retrieval, downstream action</x:v>
      </x:c>
      <x:c r="S12" s="14" t="str">
        <x:v>No</x:v>
      </x:c>
      <x:c r="T12" s="14" t="str">
        <x:v>Partial</x:v>
      </x:c>
      <x:c r="U12" s="14" t="str">
        <x:v>Yes</x:v>
      </x:c>
      <x:c r="V12" s="14" t="str">
        <x:v>Partial</x:v>
      </x:c>
      <x:c r="W12" s="14" t="str">
        <x:v>Partial</x:v>
      </x:c>
      <x:c r="X12" s="14" t="str">
        <x:v>Complete PDF</x:v>
      </x:c>
      <x:c r="Y12" s="14" t="str">
        <x:v>2605.15338v2.pdf</x:v>
      </x:c>
      <x:c r="Z12" s="14" t="str">
        <x:v>Sleeper attacks; end-to-end evidence chain</x:v>
      </x:c>
      <x:c r="AA12" s="14" t="str">
        <x:v>Core include</x:v>
      </x:c>
      <x:c r="AB12" s="14" t="str">
        <x:v>Full text available</x:v>
      </x:c>
      <x:c r="AC12" s="14" t="str">
        <x:v>Matches corpus ID 18. Record write, retrieval, behavioral-use rates, model fa...</x:v>
      </x:c>
    </x:row>
    <x:row r="13">
      <x:c r="A13" s="14" t="n">
        <x:v>19</x:v>
      </x:c>
      <x:c r="B13" s="14" t="str">
        <x:v>From Untrusted Input to Trusted Memory: A Systematic Study of Memory Poisonin...</x:v>
      </x:c>
      <x:c r="C13" s="14" t="str">
        <x:v>Pritam Dash et al.</x:v>
      </x:c>
      <x:c r="D13" s="14" t="n">
        <x:v>2026</x:v>
      </x:c>
      <x:c r="E13" s="14" t="str">
        <x:v>Peer-reviewed workshop</x:v>
      </x:c>
      <x:c r="F13" s="14" t="str">
        <x:v>ICML 2026 AIWILD Workshop</x:v>
      </x:c>
      <x:c r="G13" s="14" t="str">
        <x:v>2606.04329</x:v>
      </x:c>
      <x:c r="H13" s="14" t="str">
        <x:v>2606.04329v2.pdf</x:v>
      </x:c>
      <x:c r="I13" s="14" t="str">
        <x:v>Attack taxonomy / benchmark</x:v>
      </x:c>
      <x:c r="J13" s="14" t="str">
        <x:v>Multiple agent-memory systems</x:v>
      </x:c>
      <x:c r="K13" s="14" t="str">
        <x:v>General memory-enabled agents</x:v>
      </x:c>
      <x:c r="L13" s="14" t="str">
        <x:v>Write / Retrieve / Execute</x:v>
      </x:c>
      <x:c r="M13" s="14" t="str">
        <x:v>Systematic vulnerability analysis and MPBench</x:v>
      </x:c>
      <x:c r="N13" s="14" t="str">
        <x:v>Four write channels; multiple attacker capabilities</x:v>
      </x:c>
      <x:c r="O13" s="14" t="str">
        <x:v>Six attack classes</x:v>
      </x:c>
      <x:c r="P13" s="14" t="str">
        <x:v>Systematic primary study identifying four memory-write channels, nine structu...</x:v>
      </x:c>
      <x:c r="Q13" s="14" t="str">
        <x:v>Identifies 4 write channels, 9 structural vulnerabilities and 6 attack classes; corpus notes report ASR 50% and RSR 41%.</x:v>
      </x:c>
      <x:c r="R13" s="14" t="str">
        <x:v>Write-channel logs, vulnerabilities, poisoned memories, retrieval and behavior metrics</x:v>
      </x:c>
      <x:c r="S13" s="14" t="str">
        <x:v>Partial</x:v>
      </x:c>
      <x:c r="T13" s="14" t="str">
        <x:v>Partial</x:v>
      </x:c>
      <x:c r="U13" s="14" t="str">
        <x:v>Partial</x:v>
      </x:c>
      <x:c r="V13" s="14" t="str">
        <x:v>Partial</x:v>
      </x:c>
      <x:c r="W13" s="14" t="str">
        <x:v>No</x:v>
      </x:c>
      <x:c r="X13" s="14" t="str">
        <x:v>Complete PDF</x:v>
      </x:c>
      <x:c r="Y13" s="14" t="str">
        <x:v>2606.04329v2.pdf</x:v>
      </x:c>
      <x:c r="Z13" s="14" t="str">
        <x:v>Evidence-derived attack taxonomy and benchmark</x:v>
      </x:c>
      <x:c r="AA13" s="14" t="str">
        <x:v>Core include</x:v>
      </x:c>
      <x:c r="AB13" s="14" t="str">
        <x:v>Full text available</x:v>
      </x:c>
      <x:c r="AC13" s="14" t="str">
        <x:v>Matches corpus ID 19. Code as primary benchmark/taxonomy evidence, not as a s...</x:v>
      </x:c>
    </x:row>
    <x:row r="14">
      <x:c r="A14" s="14" t="n">
        <x:v>20</x:v>
      </x:c>
      <x:c r="B14" s="14" t="str">
        <x:v>MemMorph: Tool Hijacking in LLM Agents via Memory Poisoning</x:v>
      </x:c>
      <x:c r="C14" s="14" t="str">
        <x:v>Xuanye Zhang et al.</x:v>
      </x:c>
      <x:c r="D14" s="14" t="n">
        <x:v>2026</x:v>
      </x:c>
      <x:c r="E14" s="14" t="str">
        <x:v>Preprint</x:v>
      </x:c>
      <x:c r="F14" s="14" t="str">
        <x:v>arXiv</x:v>
      </x:c>
      <x:c r="G14" s="14" t="str">
        <x:v>2605.26154</x:v>
      </x:c>
      <x:c r="H14" s="14" t="str">
        <x:v>2605.26154v1.pdf</x:v>
      </x:c>
      <x:c r="I14" s="14" t="str">
        <x:v>Attack / tool selection</x:v>
      </x:c>
      <x:c r="J14" s="14" t="str">
        <x:v>Long-term memory used for tool selection</x:v>
      </x:c>
      <x:c r="K14" s="14" t="str">
        <x:v>Tool-augmented agents; 10 backbones; 3 memory modules</x:v>
      </x:c>
      <x:c r="L14" s="14" t="str">
        <x:v>Write / Retrieve / Execute</x:v>
      </x:c>
      <x:c r="M14" s="14" t="str">
        <x:v>Disguised factual/policy records bias tool choice</x:v>
      </x:c>
      <x:c r="N14" s="14" t="str">
        <x:v>Injects a small number of memory records</x:v>
      </x:c>
      <x:c r="O14" s="14" t="str">
        <x:v>Context-dependent tool selection</x:v>
      </x:c>
      <x:c r="P14" s="14" t="str">
        <x:v>Directly poisons long-term agent memory with disguised facts, incident report...</x:v>
      </x:c>
      <x:c r="Q14" s="14" t="str">
        <x:v>Up to 85.9% ASR with three records; up to 25% above strongest baseline; remains effective under three defenses.</x:v>
      </x:c>
      <x:c r="R14" s="14" t="str">
        <x:v>Poison records, retrieved guidance, tool-selection traces and actions</x:v>
      </x:c>
      <x:c r="S14" s="14" t="str">
        <x:v>No</x:v>
      </x:c>
      <x:c r="T14" s="14" t="str">
        <x:v>Partial</x:v>
      </x:c>
      <x:c r="U14" s="14" t="str">
        <x:v>Yes</x:v>
      </x:c>
      <x:c r="V14" s="14" t="str">
        <x:v>Partial</x:v>
      </x:c>
      <x:c r="W14" s="14" t="str">
        <x:v>No</x:v>
      </x:c>
      <x:c r="X14" s="14" t="str">
        <x:v>Complete PDF</x:v>
      </x:c>
      <x:c r="Y14" s="14" t="str">
        <x:v>2605.26154v1.pdf</x:v>
      </x:c>
      <x:c r="Z14" s="14" t="str">
        <x:v>Tool hijacking and action authority</x:v>
      </x:c>
      <x:c r="AA14" s="14" t="str">
        <x:v>Core include</x:v>
      </x:c>
      <x:c r="AB14" s="14" t="str">
        <x:v>Full text available</x:v>
      </x:c>
      <x:c r="AC14" s="14" t="str">
        <x:v>Matches corpus ID 20. Extract tool-selection ASR, memory implementations, att...</x:v>
      </x:c>
    </x:row>
    <x:row r="15">
      <x:c r="A15" s="14" t="n">
        <x:v>21</x:v>
      </x:c>
      <x:c r="B15" s="14" t="str">
        <x:v>Zombie Agents: Persistent Control of Self-Evolving LLM Agents via Self-Reinfo...</x:v>
      </x:c>
      <x:c r="C15" s="14" t="str">
        <x:v>Xianglin Yang et al.</x:v>
      </x:c>
      <x:c r="D15" s="14" t="n">
        <x:v>2026</x:v>
      </x:c>
      <x:c r="E15" s="14" t="str">
        <x:v>Preprint</x:v>
      </x:c>
      <x:c r="F15" s="14" t="str">
        <x:v>arXiv</x:v>
      </x:c>
      <x:c r="G15" s="14" t="str">
        <x:v>2602.15654</x:v>
      </x:c>
      <x:c r="H15" s="14" t="str">
        <x:v>2602.15654v2.pdf</x:v>
      </x:c>
      <x:c r="I15" s="14" t="str">
        <x:v>Attack / persistent control</x:v>
      </x:c>
      <x:c r="J15" s="14" t="str">
        <x:v>Self-evolving long-term memory</x:v>
      </x:c>
      <x:c r="K15" s="14" t="str">
        <x:v>Web/tool-using self-evolving agents</x:v>
      </x:c>
      <x:c r="L15" s="14" t="str">
        <x:v>Acquire / Write / Retrieve / Execute</x:v>
      </x:c>
      <x:c r="M15" s="14" t="str">
        <x:v>Self-reinforcing persistent indirect injection</x:v>
      </x:c>
      <x:c r="N15" s="14" t="str">
        <x:v>Attacker-controlled web content only</x:v>
      </x:c>
      <x:c r="O15" s="14" t="str">
        <x:v>Infection phase followed by later trigger</x:v>
      </x:c>
      <x:c r="P15" s="14" t="str">
        <x:v>Direct cross-session attack in which indirect content enters long-term memory...</x:v>
      </x:c>
      <x:c r="Q15" s="14" t="str">
        <x:v>Shows one-time indirect injection can survive across sessions using memory-specific persistence strategies; verify exact ASR by setup.</x:v>
      </x:c>
      <x:c r="R15" s="14" t="str">
        <x:v>Poisoned source, memory update, trigger retrieval, unauthorized action</x:v>
      </x:c>
      <x:c r="S15" s="14" t="str">
        <x:v>No</x:v>
      </x:c>
      <x:c r="T15" s="14" t="str">
        <x:v>Partial</x:v>
      </x:c>
      <x:c r="U15" s="14" t="str">
        <x:v>Yes</x:v>
      </x:c>
      <x:c r="V15" s="14" t="str">
        <x:v>Partial</x:v>
      </x:c>
      <x:c r="W15" s="14" t="str">
        <x:v>Partial</x:v>
      </x:c>
      <x:c r="X15" s="14" t="str">
        <x:v>Complete PDF</x:v>
      </x:c>
      <x:c r="Y15" s="14" t="str">
        <x:v>2602.15654v2.pdf</x:v>
      </x:c>
      <x:c r="Z15" s="14" t="str">
        <x:v>Persistent control and reactivation</x:v>
      </x:c>
      <x:c r="AA15" s="14" t="str">
        <x:v>Core include</x:v>
      </x:c>
      <x:c r="AB15" s="14" t="str">
        <x:v>Full text available</x:v>
      </x:c>
      <x:c r="AC15" s="14" t="str">
        <x:v>Matches corpus ID 21. Extract infection/trigger phases, persistence strategie...</x:v>
      </x:c>
    </x:row>
    <x:row r="16">
      <x:c r="A16" s="14" t="n">
        <x:v>22</x:v>
      </x:c>
      <x:c r="B16" s="14" t="str">
        <x:v>No Attacker Needed: Unintentional Cross-User Contamination in Shared-State LL...</x:v>
      </x:c>
      <x:c r="C16" s="14" t="str">
        <x:v>Tiankai Yang et al.</x:v>
      </x:c>
      <x:c r="D16" s="14" t="n">
        <x:v>2026</x:v>
      </x:c>
      <x:c r="E16" s="14" t="str">
        <x:v>Preprint</x:v>
      </x:c>
      <x:c r="F16" s="14" t="str">
        <x:v>arXiv</x:v>
      </x:c>
      <x:c r="G16" s="14" t="str">
        <x:v>2604.01350</x:v>
      </x:c>
      <x:c r="H16" s="14" t="str">
        <x:v>2604.01350v1.pdf</x:v>
      </x:c>
      <x:c r="I16" s="14" t="str">
        <x:v>Non-adversarial failure / shared state</x:v>
      </x:c>
      <x:c r="J16" s="14" t="str">
        <x:v>Shared multi-user agent state</x:v>
      </x:c>
      <x:c r="K16" s="14" t="str">
        <x:v>Shared-state LLM agents</x:v>
      </x:c>
      <x:c r="L16" s="14" t="str">
        <x:v>Write / Share / Retrieve</x:v>
      </x:c>
      <x:c r="M16" s="14" t="str">
        <x:v>Unintentional cross-user contamination</x:v>
      </x:c>
      <x:c r="N16" s="14" t="str">
        <x:v>No attacker; benign interactions and state leakage</x:v>
      </x:c>
      <x:c r="O16" s="14" t="str">
        <x:v>Cross-user and later-session</x:v>
      </x:c>
      <x:c r="P16" s="14" t="str">
        <x:v>Directly studies benign but harmful persistence across users in shared agent ...</x:v>
      </x:c>
      <x:c r="Q16" s="14" t="str">
        <x:v>Demonstrates silent harmful contamination without adversary; verify taxonomy and rates from full text.</x:v>
      </x:c>
      <x:c r="R16" s="14" t="str">
        <x:v>User/state identifiers, writes, retrievals, wrong answers and residual state</x:v>
      </x:c>
      <x:c r="S16" s="14" t="str">
        <x:v>Partial</x:v>
      </x:c>
      <x:c r="T16" s="14" t="str">
        <x:v>Partial</x:v>
      </x:c>
      <x:c r="U16" s="14" t="str">
        <x:v>Partial</x:v>
      </x:c>
      <x:c r="V16" s="14" t="str">
        <x:v>Yes</x:v>
      </x:c>
      <x:c r="W16" s="14" t="str">
        <x:v>Partial</x:v>
      </x:c>
      <x:c r="X16" s="14" t="str">
        <x:v>Complete PDF</x:v>
      </x:c>
      <x:c r="Y16" s="14" t="str">
        <x:v>2604.01350v1.pdf</x:v>
      </x:c>
      <x:c r="Z16" s="14" t="str">
        <x:v>Non-adversarial incidents; shared-state blast radius</x:v>
      </x:c>
      <x:c r="AA16" s="14" t="str">
        <x:v>Core include</x:v>
      </x:c>
      <x:c r="AB16" s="14" t="str">
        <x:v>Full text available</x:v>
      </x:c>
      <x:c r="AC16" s="14" t="str">
        <x:v>Matches corpus ID 22. Extract contamination taxonomy, state mechanisms, resid...</x:v>
      </x:c>
    </x:row>
    <x:row r="17">
      <x:c r="A17" s="14" t="n">
        <x:v>24</x:v>
      </x:c>
      <x:c r="B17" s="14" t="str">
        <x:v>Visual Inception: Compromising Long-Term Planning in Agentic Recommenders via...</x:v>
      </x:c>
      <x:c r="C17" s="14" t="str">
        <x:v>Jiachen Qian</x:v>
      </x:c>
      <x:c r="D17" s="14" t="n">
        <x:v>2026</x:v>
      </x:c>
      <x:c r="E17" s="14" t="str">
        <x:v>Preprint</x:v>
      </x:c>
      <x:c r="F17" s="14" t="str">
        <x:v>arXiv</x:v>
      </x:c>
      <x:c r="G17" s="14" t="str">
        <x:v>2604.16966</x:v>
      </x:c>
      <x:c r="H17" s="14" t="str">
        <x:v>2604.16966v1.pdf</x:v>
      </x:c>
      <x:c r="I17" s="14" t="str">
        <x:v>Attack and defense / multimodal memory</x:v>
      </x:c>
      <x:c r="J17" s="14" t="str">
        <x:v>Persistent multimodal recommendation memory</x:v>
      </x:c>
      <x:c r="K17" s="14" t="str">
        <x:v>Agentic recommender systems</x:v>
      </x:c>
      <x:c r="L17" s="14" t="str">
        <x:v>Write / Retrieve / Execute</x:v>
      </x:c>
      <x:c r="M17" s="14" t="str">
        <x:v>Multimodal sleeper poisoning and planning hijack</x:v>
      </x:c>
      <x:c r="N17" s="14" t="str">
        <x:v>Poisoned multimodal inputs</x:v>
      </x:c>
      <x:c r="O17" s="14" t="str">
        <x:v>Delayed future planning</x:v>
      </x:c>
      <x:c r="P17" s="14" t="str">
        <x:v>Direct sleeper-style poisoning of persistent multimodal memory in agentic rec...</x:v>
      </x:c>
      <x:c r="Q17" s="14" t="str">
        <x:v>Demonstrates delayed multimodal-memory influence and evaluates counterfactual reasoning as a defense; verify exact metrics.</x:v>
      </x:c>
      <x:c r="R17" s="14" t="str">
        <x:v>Multimodal memory, retrieval, recommendations/plans, counterfactual verification</x:v>
      </x:c>
      <x:c r="S17" s="14" t="str">
        <x:v>No</x:v>
      </x:c>
      <x:c r="T17" s="14" t="str">
        <x:v>Partial</x:v>
      </x:c>
      <x:c r="U17" s="14" t="str">
        <x:v>Yes</x:v>
      </x:c>
      <x:c r="V17" s="14" t="str">
        <x:v>No</x:v>
      </x:c>
      <x:c r="W17" s="14" t="str">
        <x:v>Partial</x:v>
      </x:c>
      <x:c r="X17" s="14" t="str">
        <x:v>Complete PDF</x:v>
      </x:c>
      <x:c r="Y17" s="14" t="str">
        <x:v>2604.16966v1.pdf</x:v>
      </x:c>
      <x:c r="Z17" s="14" t="str">
        <x:v>Multimodal memory and counterfactual investigation</x:v>
      </x:c>
      <x:c r="AA17" s="14" t="str">
        <x:v>Core include</x:v>
      </x:c>
      <x:c r="AB17" s="14" t="str">
        <x:v>Full text available</x:v>
      </x:c>
      <x:c r="AC17" s="14" t="str">
        <x:v>Matches corpus ID 24. Core evidence for multimodal memory, delayed activation...</x:v>
      </x:c>
    </x:row>
    <x:row r="18">
      <x:c r="A18" s="14" t="n">
        <x:v>26</x:v>
      </x:c>
      <x:c r="B18" s="14" t="str">
        <x:v>Agent Smith: A Single Image Can Jailbreak One Million Multimodal LLM Agents E...</x:v>
      </x:c>
      <x:c r="C18" s="14" t="str">
        <x:v>Xiangming Gu et al.</x:v>
      </x:c>
      <x:c r="D18" s="14" t="n">
        <x:v>2024</x:v>
      </x:c>
      <x:c r="E18" s="14" t="str">
        <x:v>Peer-reviewed</x:v>
      </x:c>
      <x:c r="F18" s="14" t="str">
        <x:v>ICML 2024</x:v>
      </x:c>
      <x:c r="G18" s="14" t="str">
        <x:v>2402.08567</x:v>
      </x:c>
      <x:c r="H18" s="14" t="str">
        <x:v>2402.08567v2.pdf</x:v>
      </x:c>
      <x:c r="I18" s="14" t="str">
        <x:v>Attack / multi-agent propagation</x:v>
      </x:c>
      <x:c r="J18" s="14" t="str">
        <x:v>Shared multimodal memory bank</x:v>
      </x:c>
      <x:c r="K18" s="14" t="str">
        <x:v>Large multi-agent environment</x:v>
      </x:c>
      <x:c r="L18" s="14" t="str">
        <x:v>Share / Propagate / Execute</x:v>
      </x:c>
      <x:c r="M18" s="14" t="str">
        <x:v>Infectious image jailbreak propagated via memory bank</x:v>
      </x:c>
      <x:c r="N18" s="14" t="str">
        <x:v>Malicious image introduced to one or more agents</x:v>
      </x:c>
      <x:c r="O18" s="14" t="str">
        <x:v>Exponential agent-to-agent spread</x:v>
      </x:c>
      <x:c r="P18" s="14" t="str">
        <x:v>Memory-bank-mediated infectious jailbreak across a large multi-agent environm...</x:v>
      </x:c>
      <x:c r="Q18" s="14" t="str">
        <x:v>Shows exponential propagation across a very large multi-agent population; extract exact spread and success figures.</x:v>
      </x:c>
      <x:c r="R18" s="14" t="str">
        <x:v>Image payload, memory-bank copies, inter-agent propagation and harmful outputs</x:v>
      </x:c>
      <x:c r="S18" s="14" t="str">
        <x:v>No</x:v>
      </x:c>
      <x:c r="T18" s="14" t="str">
        <x:v>Partial</x:v>
      </x:c>
      <x:c r="U18" s="14" t="str">
        <x:v>Partial</x:v>
      </x:c>
      <x:c r="V18" s="14" t="str">
        <x:v>Yes</x:v>
      </x:c>
      <x:c r="W18" s="14" t="str">
        <x:v>No</x:v>
      </x:c>
      <x:c r="X18" s="14" t="str">
        <x:v>Complete PDF</x:v>
      </x:c>
      <x:c r="Y18" s="14" t="str">
        <x:v>2402.08567v2.pdf</x:v>
      </x:c>
      <x:c r="Z18" s="14" t="str">
        <x:v>Propagation, contagion and blast-radius analysis</x:v>
      </x:c>
      <x:c r="AA18" s="14" t="str">
        <x:v>Core include</x:v>
      </x:c>
      <x:c r="AB18" s="14" t="str">
        <x:v>Full text available</x:v>
      </x:c>
      <x:c r="AC18" s="14" t="str">
        <x:v>Matches corpus ID 26. It is not cross-session personal memory, so code it pri...</x:v>
      </x:c>
    </x:row>
    <x:row r="19">
      <x:c r="A19" s="14" t="n">
        <x:v>29</x:v>
      </x:c>
      <x:c r="B19" s="14" t="str">
        <x:v>What If Prompt Injection Never Left? Exploring Cross-Session Stored Prompt In...</x:v>
      </x:c>
      <x:c r="C19" s="14" t="str">
        <x:v>Yuanbo Xie et al.</x:v>
      </x:c>
      <x:c r="D19" s="14" t="n">
        <x:v>2026</x:v>
      </x:c>
      <x:c r="E19" s="14" t="str">
        <x:v>Preprint</x:v>
      </x:c>
      <x:c r="F19" s="14" t="str">
        <x:v>arXiv</x:v>
      </x:c>
      <x:c r="G19" s="14" t="str">
        <x:v>2606.04425</x:v>
      </x:c>
      <x:c r="H19" s="14" t="str">
        <x:v>2606.04425v1.pdf</x:v>
      </x:c>
      <x:c r="I19" s="14" t="str">
        <x:v>Attack / cross-session persistence</x:v>
      </x:c>
      <x:c r="J19" s="14" t="str">
        <x:v>Persistent state including memory, files, tools and skills</x:v>
      </x:c>
      <x:c r="K19" s="14" t="str">
        <x:v>Agentic systems</x:v>
      </x:c>
      <x:c r="L19" s="14" t="str">
        <x:v>Write / Store / Retrieve</x:v>
      </x:c>
      <x:c r="M19" s="14" t="str">
        <x:v>Cross-session stored prompt injection</x:v>
      </x:c>
      <x:c r="N19" s="14" t="str">
        <x:v>Writes malicious state through normal system interactions</x:v>
      </x:c>
      <x:c r="O19" s="14" t="str">
        <x:v>Later session / state retrieval</x:v>
      </x:c>
      <x:c r="P19" s="14" t="str">
        <x:v>Formalizes stored prompt injection across memories, filesystems, tools, skill...</x:v>
      </x:c>
      <x:c r="Q19" s="14" t="str">
        <x:v>Provides taxonomy and evaluation of stored prompt injection across persistent channels; verify benchmark counts and ASR.</x:v>
      </x:c>
      <x:c r="R19" s="14" t="str">
        <x:v>Persistent-state object, later retrieval, downstream agent execution</x:v>
      </x:c>
      <x:c r="S19" s="14" t="str">
        <x:v>Partial</x:v>
      </x:c>
      <x:c r="T19" s="14" t="str">
        <x:v>Partial</x:v>
      </x:c>
      <x:c r="U19" s="14" t="str">
        <x:v>Partial</x:v>
      </x:c>
      <x:c r="V19" s="14" t="str">
        <x:v>Partial</x:v>
      </x:c>
      <x:c r="W19" s="14" t="str">
        <x:v>Partial</x:v>
      </x:c>
      <x:c r="X19" s="14" t="str">
        <x:v>Complete PDF</x:v>
      </x:c>
      <x:c r="Y19" s="14" t="str">
        <x:v>2606.04425v1.pdf</x:v>
      </x:c>
      <x:c r="Z19" s="14" t="str">
        <x:v>Scope boundary: persistent memory and adjacent durable state</x:v>
      </x:c>
      <x:c r="AA19" s="14" t="str">
        <x:v>Core include</x:v>
      </x:c>
      <x:c r="AB19" s="14" t="str">
        <x:v>Full text available</x:v>
      </x:c>
      <x:c r="AC19" s="14" t="str">
        <x:v>Matches corpus ID 29. Extract persistence-channel taxonomy, benchmark design,...</x:v>
      </x:c>
    </x:row>
    <x:row r="20">
      <x:c r="A20" s="14" t="n">
        <x:v>30</x:v>
      </x:c>
      <x:c r="B20" s="14" t="str">
        <x:v>ER-MIA: Black-Box Adversarial Memory Injection Attacks on Long-Term Memory-Au...</x:v>
      </x:c>
      <x:c r="C20" s="14" t="str">
        <x:v>Mitchell Piehl et al.</x:v>
      </x:c>
      <x:c r="D20" s="14" t="n">
        <x:v>2026</x:v>
      </x:c>
      <x:c r="E20" s="14" t="str">
        <x:v>Preprint</x:v>
      </x:c>
      <x:c r="F20" s="14" t="str">
        <x:v>arXiv</x:v>
      </x:c>
      <x:c r="G20" s="14" t="str">
        <x:v>2602.15344</x:v>
      </x:c>
      <x:c r="H20" s="14" t="str">
        <x:v>2602.15344v1.pdf</x:v>
      </x:c>
      <x:c r="I20" s="14" t="str">
        <x:v>Attack / memory injection</x:v>
      </x:c>
      <x:c r="J20" s="14" t="str">
        <x:v>Dynamic long-term retrieval memory</x:v>
      </x:c>
      <x:c r="K20" s="14" t="str">
        <x:v>Long-term-memory-augmented LLMs</x:v>
      </x:c>
      <x:c r="L20" s="14" t="str">
        <x:v>Write / Retrieve</x:v>
      </x:c>
      <x:c r="M20" s="14" t="str">
        <x:v>Black-box adversarial memory injection targeting similarity retrieval</x:v>
      </x:c>
      <x:c r="N20" s="14" t="str">
        <x:v>Black-box interaction</x:v>
      </x:c>
      <x:c r="O20" s="14" t="str">
        <x:v>Query-conditioned retrieval</x:v>
      </x:c>
      <x:c r="P20" s="14" t="str">
        <x:v>Direct black-box injection study targeting similarity-based retrieval in dyna...</x:v>
      </x:c>
      <x:c r="Q20" s="14" t="str">
        <x:v>Shows persistent reasoning degradation through dynamic retrieval; verify exact model/task metrics.</x:v>
      </x:c>
      <x:c r="R20" s="14" t="str">
        <x:v>Injection interactions, embeddings/retrieval, degraded reasoning outputs</x:v>
      </x:c>
      <x:c r="S20" s="14" t="str">
        <x:v>No</x:v>
      </x:c>
      <x:c r="T20" s="14" t="str">
        <x:v>Partial</x:v>
      </x:c>
      <x:c r="U20" s="14" t="str">
        <x:v>Partial</x:v>
      </x:c>
      <x:c r="V20" s="14" t="str">
        <x:v>No</x:v>
      </x:c>
      <x:c r="W20" s="14" t="str">
        <x:v>No</x:v>
      </x:c>
      <x:c r="X20" s="14" t="str">
        <x:v>Complete PDF</x:v>
      </x:c>
      <x:c r="Y20" s="14" t="str">
        <x:v>2602.15344v1.pdf</x:v>
      </x:c>
      <x:c r="Z20" s="14" t="str">
        <x:v>Black-box injection and retrieval manipulation</x:v>
      </x:c>
      <x:c r="AA20" s="14" t="str">
        <x:v>Core include</x:v>
      </x:c>
      <x:c r="AB20" s="14" t="str">
        <x:v>Full text available</x:v>
      </x:c>
      <x:c r="AC20" s="14" t="str">
        <x:v>Matches corpus ID 30. Distinguish this memory-injection acronym from membersh...</x:v>
      </x:c>
    </x:row>
    <x:row r="21">
      <x:c r="A21" s="14" t="n">
        <x:v>31</x:v>
      </x:c>
      <x:c r="B21" s="14" t="str">
        <x:v>Hijacking Agent Memory: Stealthy Trojan Attacks Through Conversational Intera...</x:v>
      </x:c>
      <x:c r="C21" s="14" t="str">
        <x:v>Hongtao Wang et al.</x:v>
      </x:c>
      <x:c r="D21" s="14" t="n">
        <x:v>2026</x:v>
      </x:c>
      <x:c r="E21" s="14" t="str">
        <x:v>Preprint</x:v>
      </x:c>
      <x:c r="F21" s="14" t="str">
        <x:v>arXiv</x:v>
      </x:c>
      <x:c r="G21" s="14" t="str">
        <x:v>2605.29960</x:v>
      </x:c>
      <x:c r="H21" s="14" t="str">
        <x:v>2605.29960v1.pdf</x:v>
      </x:c>
      <x:c r="I21" s="14" t="str">
        <x:v>Attack / poisoning</x:v>
      </x:c>
      <x:c r="J21" s="14" t="str">
        <x:v>Selective long-term conversational memory</x:v>
      </x:c>
      <x:c r="K21" s="14" t="str">
        <x:v>Conversational memory agents</x:v>
      </x:c>
      <x:c r="L21" s="14" t="str">
        <x:v>Write / Transform / Retrieve</x:v>
      </x:c>
      <x:c r="M21" s="14" t="str">
        <x:v>Stealthy Trojan using semantic bridge and entity masquerading</x:v>
      </x:c>
      <x:c r="N21" s="14" t="str">
        <x:v>Black-box conversational interaction</x:v>
      </x:c>
      <x:c r="O21" s="14" t="str">
        <x:v>Targeted later queries</x:v>
      </x:c>
      <x:c r="P21" s="14" t="str">
        <x:v>Direct black-box conversational poisoning attack designed to survive selectiv...</x:v>
      </x:c>
      <x:c r="Q21" s="14" t="str">
        <x:v>Corpus notes report ASR up to 0.95 while bypassing selective-memory pipelines; verify exact setups and stealth measures.</x:v>
      </x:c>
      <x:c r="R21" s="14" t="str">
        <x:v>Dialogue, extracted/rewritten memory, retrieval event, target output</x:v>
      </x:c>
      <x:c r="S21" s="14" t="str">
        <x:v>No</x:v>
      </x:c>
      <x:c r="T21" s="14" t="str">
        <x:v>Partial</x:v>
      </x:c>
      <x:c r="U21" s="14" t="str">
        <x:v>Partial</x:v>
      </x:c>
      <x:c r="V21" s="14" t="str">
        <x:v>No</x:v>
      </x:c>
      <x:c r="W21" s="14" t="str">
        <x:v>No</x:v>
      </x:c>
      <x:c r="X21" s="14" t="str">
        <x:v>Complete PDF</x:v>
      </x:c>
      <x:c r="Y21" s="14" t="str">
        <x:v>2605.29960v1.pdf</x:v>
      </x:c>
      <x:c r="Z21" s="14" t="str">
        <x:v>Stealth and transformation-resistant poisoning</x:v>
      </x:c>
      <x:c r="AA21" s="14" t="str">
        <x:v>Core include</x:v>
      </x:c>
      <x:c r="AB21" s="14" t="str">
        <x:v>Full text available</x:v>
      </x:c>
      <x:c r="AC21" s="14" t="str">
        <x:v>Matches corpus ID 31. Record semantic bridge, entity masquerading, joint embe...</x:v>
      </x:c>
    </x:row>
    <x:row r="22">
      <x:c r="A22" s="14" t="n">
        <x:v>32</x:v>
      </x:c>
      <x:c r="B22" s="14" t="str">
        <x:v>ShadowMerge: A Novel Poisoning Attack on Graph-Based Agent Memory via Relatio...</x:v>
      </x:c>
      <x:c r="C22" s="14" t="str">
        <x:v>Yang Luo et al.</x:v>
      </x:c>
      <x:c r="D22" s="14" t="n">
        <x:v>2026</x:v>
      </x:c>
      <x:c r="E22" s="14" t="str">
        <x:v>Preprint</x:v>
      </x:c>
      <x:c r="F22" s="14" t="str">
        <x:v>arXiv</x:v>
      </x:c>
      <x:c r="G22" s="14" t="str">
        <x:v>2605.09033</x:v>
      </x:c>
      <x:c r="H22" s="14" t="str">
        <x:v>2605.09033v3.pdf</x:v>
      </x:c>
      <x:c r="I22" s="14" t="str">
        <x:v>Attack / graph memory</x:v>
      </x:c>
      <x:c r="J22" s="14" t="str">
        <x:v>Graph-based agent memory (Mem0 graph)</x:v>
      </x:c>
      <x:c r="K22" s="14" t="str">
        <x:v>Graph-memory agents</x:v>
      </x:c>
      <x:c r="L22" s="14" t="str">
        <x:v>Write / Transform / Retrieve</x:v>
      </x:c>
      <x:c r="M22" s="14" t="str">
        <x:v>Relation-channel conflict poisoning</x:v>
      </x:c>
      <x:c r="N22" s="14" t="str">
        <x:v>Injects adversarial graph-memory content</x:v>
      </x:c>
      <x:c r="O22" s="14" t="str">
        <x:v>Multi-hop relation retrieval</x:v>
      </x:c>
      <x:c r="P22" s="14" t="str">
        <x:v>Direct poisoning attack on persistent graph-based agent memory. It exploits a...</x:v>
      </x:c>
      <x:c r="Q22" s="14" t="str">
        <x:v>Demonstrates graph-specific poisoning through relation conflicts; verify attack rates and graph-structure metrics.</x:v>
      </x:c>
      <x:c r="R22" s="14" t="str">
        <x:v>Graph nodes/edges, merge operations, retrieval paths and outputs</x:v>
      </x:c>
      <x:c r="S22" s="14" t="str">
        <x:v>Partial</x:v>
      </x:c>
      <x:c r="T22" s="14" t="str">
        <x:v>Partial</x:v>
      </x:c>
      <x:c r="U22" s="14" t="str">
        <x:v>Partial</x:v>
      </x:c>
      <x:c r="V22" s="14" t="str">
        <x:v>Partial</x:v>
      </x:c>
      <x:c r="W22" s="14" t="str">
        <x:v>No</x:v>
      </x:c>
      <x:c r="X22" s="14" t="str">
        <x:v>Complete PDF</x:v>
      </x:c>
      <x:c r="Y22" s="14" t="str">
        <x:v>2605.09033v3.pdf</x:v>
      </x:c>
      <x:c r="Z22" s="14" t="str">
        <x:v>Graph memory, lineage and relation-level contamination</x:v>
      </x:c>
      <x:c r="AA22" s="14" t="str">
        <x:v>Core include</x:v>
      </x:c>
      <x:c r="AB22" s="14" t="str">
        <x:v>Full text available</x:v>
      </x:c>
      <x:c r="AC22" s="14" t="str">
        <x:v>Matches corpus ID 32. Core evidence for graph-memory-specific attack surfaces...</x:v>
      </x:c>
    </x:row>
    <x:row r="23">
      <x:c r="A23" s="14" t="n">
        <x:v>33</x:v>
      </x:c>
      <x:c r="B23" s="14" t="str">
        <x:v>MRMMIA: Membership Inference Attacks on Memory in Chat Agents</x:v>
      </x:c>
      <x:c r="C23" s="14" t="str">
        <x:v>Kai Chen et al.</x:v>
      </x:c>
      <x:c r="D23" s="14" t="n">
        <x:v>2026</x:v>
      </x:c>
      <x:c r="E23" s="14" t="str">
        <x:v>Preprint</x:v>
      </x:c>
      <x:c r="F23" s="14" t="str">
        <x:v>arXiv</x:v>
      </x:c>
      <x:c r="G23" s="14" t="str">
        <x:v>2605.27825</x:v>
      </x:c>
      <x:c r="H23" s="14" t="str">
        <x:v>2605.27825v1.pdf</x:v>
      </x:c>
      <x:c r="I23" s="14" t="str">
        <x:v>Attack / privacy</x:v>
      </x:c>
      <x:c r="J23" s="14" t="str">
        <x:v>Chat-agent long-term memory</x:v>
      </x:c>
      <x:c r="K23" s="14" t="str">
        <x:v>Memory-enabled chat agents</x:v>
      </x:c>
      <x:c r="L23" s="14" t="str">
        <x:v>Retrieve</x:v>
      </x:c>
      <x:c r="M23" s="14" t="str">
        <x:v>Membership inference against stored memory</x:v>
      </x:c>
      <x:c r="N23" s="14" t="str">
        <x:v>Black-, gray- and white-box settings</x:v>
      </x:c>
      <x:c r="O23" s="14" t="str">
        <x:v>Repeated membership queries</x:v>
      </x:c>
      <x:c r="P23" s="14" t="str">
        <x:v>Directly formalizes membership inference against chat-agent memory across bla...</x:v>
      </x:c>
      <x:c r="Q23" s="14" t="str">
        <x:v>Establishes membership leakage from agent memory across attacker-knowledge settings; verify AUC/accuracy values.</x:v>
      </x:c>
      <x:c r="R23" s="14" t="str">
        <x:v>Queries, confidence/output signals, inferred membership labels</x:v>
      </x:c>
      <x:c r="S23" s="14" t="str">
        <x:v>No</x:v>
      </x:c>
      <x:c r="T23" s="14" t="str">
        <x:v>No</x:v>
      </x:c>
      <x:c r="U23" s="14" t="str">
        <x:v>No</x:v>
      </x:c>
      <x:c r="V23" s="14" t="str">
        <x:v>No</x:v>
      </x:c>
      <x:c r="W23" s="14" t="str">
        <x:v>No</x:v>
      </x:c>
      <x:c r="X23" s="14" t="str">
        <x:v>Complete PDF</x:v>
      </x:c>
      <x:c r="Y23" s="14" t="str">
        <x:v>2605.27825v1.pdf</x:v>
      </x:c>
      <x:c r="Z23" s="14" t="str">
        <x:v>Privacy: membership inference</x:v>
      </x:c>
      <x:c r="AA23" s="14" t="str">
        <x:v>Core include</x:v>
      </x:c>
      <x:c r="AB23" s="14" t="str">
        <x:v>Full text available</x:v>
      </x:c>
      <x:c r="AC23" s="14" t="str">
        <x:v>Matches corpus ID 33.</x:v>
      </x:c>
    </x:row>
    <x:row r="24">
      <x:c r="A24" s="14" t="n">
        <x:v>34</x:v>
      </x:c>
      <x:c r="B24" s="14" t="str">
        <x:v>VerificAgent: Domain-Specific Memory Verification for Scalable Oversight of A...</x:v>
      </x:c>
      <x:c r="C24" s="14" t="str">
        <x:v>Thong Q. Nguyen et al.</x:v>
      </x:c>
      <x:c r="D24" s="14" t="n">
        <x:v>2025</x:v>
      </x:c>
      <x:c r="E24" s="14" t="str">
        <x:v>Preprint</x:v>
      </x:c>
      <x:c r="F24" s="14" t="str">
        <x:v>arXiv</x:v>
      </x:c>
      <x:c r="G24" s="14" t="str">
        <x:v>2506.02539</x:v>
      </x:c>
      <x:c r="H24" s="14" t="str">
        <x:v>2506.02539v3.pdf</x:v>
      </x:c>
      <x:c r="I24" s="14" t="str">
        <x:v>Defense / verification</x:v>
      </x:c>
      <x:c r="J24" s="14" t="str">
        <x:v>Verified trajectory-derived memory</x:v>
      </x:c>
      <x:c r="K24" s="14" t="str">
        <x:v>Computer-use agents</x:v>
      </x:c>
      <x:c r="L24" s="14" t="str">
        <x:v>Write / Validate / Store</x:v>
      </x:c>
      <x:c r="M24" s="14" t="str">
        <x:v>Human-verified memory freezing and safety contract</x:v>
      </x:c>
      <x:c r="N24" s="14" t="str">
        <x:v>Trusted expert seeds and human fact checking</x:v>
      </x:c>
      <x:c r="O24" s="14" t="str">
        <x:v>Memory update and reuse</x:v>
      </x:c>
      <x:c r="P24" s="14" t="str">
        <x:v>Direct persistent-memory verification framework using expert seeds, trajector...</x:v>
      </x:c>
      <x:c r="Q24" s="14" t="str">
        <x:v>Demonstrates scalable oversight through frozen verified memory; verify safety/utility and reviewer-effort metrics.</x:v>
      </x:c>
      <x:c r="R24" s="14" t="str">
        <x:v>Seed memory, proposed additions, verification decisions, frozen store and agent trajectories</x:v>
      </x:c>
      <x:c r="S24" s="14" t="str">
        <x:v>Partial</x:v>
      </x:c>
      <x:c r="T24" s="14" t="str">
        <x:v>Partial</x:v>
      </x:c>
      <x:c r="U24" s="14" t="str">
        <x:v>Partial</x:v>
      </x:c>
      <x:c r="V24" s="14" t="str">
        <x:v>No</x:v>
      </x:c>
      <x:c r="W24" s="14" t="str">
        <x:v>Partial</x:v>
      </x:c>
      <x:c r="X24" s="14" t="str">
        <x:v>Complete PDF</x:v>
      </x:c>
      <x:c r="Y24" s="14" t="str">
        <x:v>2506.02539v3.pdf</x:v>
      </x:c>
      <x:c r="Z24" s="14" t="str">
        <x:v>Write-time verification and human oversight</x:v>
      </x:c>
      <x:c r="AA24" s="14" t="str">
        <x:v>Core include</x:v>
      </x:c>
      <x:c r="AB24" s="14" t="str">
        <x:v>Full text available</x:v>
      </x:c>
      <x:c r="AC24" s="14" t="str">
        <x:v>Matches corpus ID 34. Core evidence for write-time verification, human oversi...</x:v>
      </x:c>
    </x:row>
    <x:row r="25">
      <x:c r="A25" s="14" t="n">
        <x:v>35</x:v>
      </x:c>
      <x:c r="B25" s="14" t="str">
        <x:v>PROV-AGENT: Unified Provenance for Tracking AI Agent Interactions in Agentic ...</x:v>
      </x:c>
      <x:c r="C25" s="14" t="str">
        <x:v>Renan Souza et al.</x:v>
      </x:c>
      <x:c r="D25" s="14" t="n">
        <x:v>2025</x:v>
      </x:c>
      <x:c r="E25" s="14" t="str">
        <x:v>Peer-reviewed</x:v>
      </x:c>
      <x:c r="F25" s="14" t="str">
        <x:v>IEEE e-Science 2025</x:v>
      </x:c>
      <x:c r="G25" s="14" t="str">
        <x:v>2508.02866</x:v>
      </x:c>
      <x:c r="H25" s="14" t="str">
        <x:v>2508.02866v3.pdf</x:v>
      </x:c>
      <x:c r="I25" s="14" t="str">
        <x:v>Provenance / system</x:v>
      </x:c>
      <x:c r="J25" s="14" t="str">
        <x:v>Execution provenance including memory operations</x:v>
      </x:c>
      <x:c r="K25" s="14" t="str">
        <x:v>Agentic workflows</x:v>
      </x:c>
      <x:c r="L25" s="14" t="str">
        <x:v>All lifecycle phases</x:v>
      </x:c>
      <x:c r="M25" s="14" t="str">
        <x:v>W3C-PROV extension for prompts, tools, memory and actions</x:v>
      </x:c>
      <x:c r="N25" s="14" t="str">
        <x:v>Trusted instrumentation</x:v>
      </x:c>
      <x:c r="O25" s="14" t="str">
        <x:v>Continuous capture</x:v>
      </x:c>
      <x:c r="P25" s="14" t="str">
        <x:v>Extends W3C PROV to prompts, responses, decisions, interactions, workflows, a...</x:v>
      </x:c>
      <x:c r="Q25" s="14" t="str">
        <x:v>Provides near-real-time provenance capture for agent workflows; extract overhead and case-study evidence.</x:v>
      </x:c>
      <x:c r="R25" s="14" t="str">
        <x:v>Typed provenance graph of entities, activities, agents, prompts, responses and outcomes</x:v>
      </x:c>
      <x:c r="S25" s="14" t="str">
        <x:v>Yes</x:v>
      </x:c>
      <x:c r="T25" s="14" t="str">
        <x:v>Yes</x:v>
      </x:c>
      <x:c r="U25" s="14" t="str">
        <x:v>Partial</x:v>
      </x:c>
      <x:c r="V25" s="14" t="str">
        <x:v>Partial</x:v>
      </x:c>
      <x:c r="W25" s="14" t="str">
        <x:v>Partial</x:v>
      </x:c>
      <x:c r="X25" s="14" t="str">
        <x:v>Complete PDF</x:v>
      </x:c>
      <x:c r="Y25" s="14" t="str">
        <x:v>2508.02866v3.pdf</x:v>
      </x:c>
      <x:c r="Z25" s="14" t="str">
        <x:v>Provenance foundation and evidence schema</x:v>
      </x:c>
      <x:c r="AA25" s="14" t="str">
        <x:v>Core include</x:v>
      </x:c>
      <x:c r="AB25" s="14" t="str">
        <x:v>Full text available</x:v>
      </x:c>
      <x:c r="AC25" s="14" t="str">
        <x:v>Matches corpus ID 35. Not memory-specific, so use as provenance-system eviden...</x:v>
      </x:c>
    </x:row>
    <x:row r="26">
      <x:c r="A26" s="14" t="n">
        <x:v>36</x:v>
      </x:c>
      <x:c r="B26" s="14" t="str">
        <x:v>MemOS: A Memory OS for AI System</x:v>
      </x:c>
      <x:c r="C26" s="14" t="str">
        <x:v>Zhiyu Li et al.</x:v>
      </x:c>
      <x:c r="D26" s="14" t="n">
        <x:v>2025</x:v>
      </x:c>
      <x:c r="E26" s="14" t="str">
        <x:v>Preprint</x:v>
      </x:c>
      <x:c r="F26" s="14" t="str">
        <x:v>arXiv</x:v>
      </x:c>
      <x:c r="G26" s="14" t="str">
        <x:v>2507.03724</x:v>
      </x:c>
      <x:c r="H26" s="14" t="str">
        <x:v>2507.03724v4.pdf</x:v>
      </x:c>
      <x:c r="I26" s="14" t="str">
        <x:v>Provenance / system</x:v>
      </x:c>
      <x:c r="J26" s="14" t="str">
        <x:v>Memory objects / MemCubes with lifecycle metadata</x:v>
      </x:c>
      <x:c r="K26" s="14" t="str">
        <x:v>AI memory operating system</x:v>
      </x:c>
      <x:c r="L26" s="14" t="str">
        <x:v>Store / Update / Snapshot / Rollback</x:v>
      </x:c>
      <x:c r="M26" s="14" t="str">
        <x:v>Memory OS with source, version, sensitivity and lifecycle metadata</x:v>
      </x:c>
      <x:c r="N26" s="14" t="str">
        <x:v>System architecture</x:v>
      </x:c>
      <x:c r="O26" s="14" t="str">
        <x:v>Memory lifecycle operations</x:v>
      </x:c>
      <x:c r="P26" s="14" t="str">
        <x:v>Persistent-memory infrastructure that packages content with provenance, versi...</x:v>
      </x:c>
      <x:c r="Q26" s="14" t="str">
        <x:v>Systems substrate rather than attack evaluation; documents snapshot, version and rollback capabilities.</x:v>
      </x:c>
      <x:c r="R26" s="14" t="str">
        <x:v>Memory object IDs, versions, source metadata, snapshots and rollback events</x:v>
      </x:c>
      <x:c r="S26" s="14" t="str">
        <x:v>Yes</x:v>
      </x:c>
      <x:c r="T26" s="14" t="str">
        <x:v>Partial</x:v>
      </x:c>
      <x:c r="U26" s="14" t="str">
        <x:v>No</x:v>
      </x:c>
      <x:c r="V26" s="14" t="str">
        <x:v>Partial</x:v>
      </x:c>
      <x:c r="W26" s="14" t="str">
        <x:v>Yes</x:v>
      </x:c>
      <x:c r="X26" s="14" t="str">
        <x:v>Complete PDF</x:v>
      </x:c>
      <x:c r="Y26" s="14" t="str">
        <x:v>2507.03724v4.pdf</x:v>
      </x:c>
      <x:c r="Z26" s="14" t="str">
        <x:v>Forensic-ready memory architecture</x:v>
      </x:c>
      <x:c r="AA26" s="14" t="str">
        <x:v>Core include</x:v>
      </x:c>
      <x:c r="AB26" s="14" t="str">
        <x:v>Full text available</x:v>
      </x:c>
      <x:c r="AC26" s="14" t="str">
        <x:v>Matches corpus ID 36. Extract only architecture, metadata, lifecycle, snapsho...</x:v>
      </x:c>
    </x:row>
    <x:row r="27">
      <x:c r="A27" s="14" t="n">
        <x:v>37</x:v>
      </x:c>
      <x:c r="B27" s="14" t="str">
        <x:v>MemLineage: Lineage-Guided Enforcement for LLM Agent Memory</x:v>
      </x:c>
      <x:c r="C27" s="14" t="str">
        <x:v>Ciyan Ouyang and Rui Hou</x:v>
      </x:c>
      <x:c r="D27" s="14" t="n">
        <x:v>2026</x:v>
      </x:c>
      <x:c r="E27" s="14" t="str">
        <x:v>Preprint</x:v>
      </x:c>
      <x:c r="F27" s="14" t="str">
        <x:v>arXiv</x:v>
      </x:c>
      <x:c r="G27" s="14" t="str">
        <x:v>2605.14421</x:v>
      </x:c>
      <x:c r="H27" s="14" t="str">
        <x:v>2605.14421v1.pdf</x:v>
      </x:c>
      <x:c r="I27" s="14" t="str">
        <x:v>Defense / provenance</x:v>
      </x:c>
      <x:c r="J27" s="14" t="str">
        <x:v>Signed lineage-aware long-term memory</x:v>
      </x:c>
      <x:c r="K27" s="14" t="str">
        <x:v>LLM-agent memory systems</x:v>
      </x:c>
      <x:c r="L27" s="14" t="str">
        <x:v>Write / Store / Retrieve / Execute / Recover</x:v>
      </x:c>
      <x:c r="M27" s="14" t="str">
        <x:v>Signed entries, Merkle log, derivation DAG and policy gating</x:v>
      </x:c>
      <x:c r="N27" s="14" t="str">
        <x:v>Trusted signing / policy infrastructure</x:v>
      </x:c>
      <x:c r="O27" s="14" t="str">
        <x:v>Sensitive-action enforcement</x:v>
      </x:c>
      <x:c r="P27" s="14" t="str">
        <x:v>Direct chain-of-custody defense combining signed entries, Merkle logging, derivation DAGs, lineage propagation, sensitive-action gating, and recovery proofs.</x:v>
      </x:c>
      <x:c r="Q27" s="14" t="str">
        <x:v>Provides chain-of-custody and lineage-guided enforcement; verify evaluation scale and overhead.</x:v>
      </x:c>
      <x:c r="R27" s="14" t="str">
        <x:v>Signed memory records, Merkle commitments, lineage DAG, policy decisions and recovery proofs</x:v>
      </x:c>
      <x:c r="S27" s="14" t="str">
        <x:v>Yes</x:v>
      </x:c>
      <x:c r="T27" s="14" t="str">
        <x:v>Yes</x:v>
      </x:c>
      <x:c r="U27" s="14" t="str">
        <x:v>Partial</x:v>
      </x:c>
      <x:c r="V27" s="14" t="str">
        <x:v>Yes</x:v>
      </x:c>
      <x:c r="W27" s="14" t="str">
        <x:v>Yes</x:v>
      </x:c>
      <x:c r="X27" s="14" t="str">
        <x:v>Complete PDF</x:v>
      </x:c>
      <x:c r="Y27" s="14" t="str">
        <x:v>2605.14421v1.pdf</x:v>
      </x:c>
      <x:c r="Z27" s="14" t="str">
        <x:v>Tamper-evident provenance and dependency-aware revocation</x:v>
      </x:c>
      <x:c r="AA27" s="14" t="str">
        <x:v>Core include</x:v>
      </x:c>
      <x:c r="AB27" s="14" t="str">
        <x:v>Full text available</x:v>
      </x:c>
      <x:c r="AC27" s="14" t="str">
        <x:v>Matches corpus ID 37. Central to provenance, evidence integrity, lineage completeness, and dependency-aware revocation.</x:v>
      </x:c>
    </x:row>
    <x:row r="28">
      <x:c r="A28" s="14" t="n">
        <x:v>38</x:v>
      </x:c>
      <x:c r="B28" s="14" t="str">
        <x:v>Securing LLM-Agent Long-Term Memory Against Poisoning: Non-Malleable, Origin-Bound Authority with Machine-Checked Guarantees</x:v>
      </x:c>
      <x:c r="C28" s="14" t="str">
        <x:v>Yedidel Louck</x:v>
      </x:c>
      <x:c r="D28" s="14" t="n">
        <x:v>2026</x:v>
      </x:c>
      <x:c r="E28" s="14" t="str">
        <x:v>Preprint</x:v>
      </x:c>
      <x:c r="F28" s="14" t="str">
        <x:v>arXiv</x:v>
      </x:c>
      <x:c r="G28" s="14" t="str">
        <x:v>2606.24322</x:v>
      </x:c>
      <x:c r="H28" s="14" t="str">
        <x:v>2606.24322v1.pdf</x:v>
      </x:c>
      <x:c r="I28" s="14" t="str">
        <x:v>Defense / formal authority</x:v>
      </x:c>
      <x:c r="J28" s="14" t="str">
        <x:v>Origin-labelled long-term memory</x:v>
      </x:c>
      <x:c r="K28" s="14" t="str">
        <x:v>LLM-agent memory</x:v>
      </x:c>
      <x:c r="L28" s="14" t="str">
        <x:v>Write / Transform / Execute</x:v>
      </x:c>
      <x:c r="M28" s="14" t="str">
        <x:v>Non-malleable origin-bound authority with formal guarantees</x:v>
      </x:c>
      <x:c r="N28" s="14" t="str">
        <x:v>Formal authority labels and machine-checked policy</x:v>
      </x:c>
      <x:c r="O28" s="14" t="str">
        <x:v>Derived memory used for action</x:v>
      </x:c>
      <x:c r="P28" s="14" t="str">
        <x:v>Directly addresses provenance laundering and proves that authority must be bound to non-malleable origin rather than content or mutable lineage alone. Core evidence for the provenance-versus-authority distinction.</x:v>
      </x:c>
      <x:c r="Q28" s="14" t="str">
        <x:v>Machine-checked guarantees against provenance laundering under stated assumptions; extract threat model and proof scope.</x:v>
      </x:c>
      <x:c r="R28" s="14" t="str">
        <x:v>Origin labels, derivation/authority states, formal specifications and model-checking traces</x:v>
      </x:c>
      <x:c r="S28" s="14" t="str">
        <x:v>Yes</x:v>
      </x:c>
      <x:c r="T28" s="14" t="str">
        <x:v>Yes</x:v>
      </x:c>
      <x:c r="U28" s="14" t="str">
        <x:v>Partial</x:v>
      </x:c>
      <x:c r="V28" s="14" t="str">
        <x:v>Partial</x:v>
      </x:c>
      <x:c r="W28" s="14" t="str">
        <x:v>Partial</x:v>
      </x:c>
      <x:c r="X28" s="14" t="str">
        <x:v>Complete PDF</x:v>
      </x:c>
      <x:c r="Y28" s="14" t="str">
        <x:v>2606.24322v1.pdf</x:v>
      </x:c>
      <x:c r="Z28" s="14" t="str">
        <x:v>Provenance versus authority; formal guarantees</x:v>
      </x:c>
      <x:c r="AA28" s="14" t="str">
        <x:v>Core include</x:v>
      </x:c>
      <x:c r="AB28" s="14" t="str">
        <x:v>Full text available</x:v>
      </x:c>
      <x:c r="AC28" s="14" t="str">
        <x:v>Matches corpus ID 38. Record formal assumptions, TLA+ guarantees, laundering channels, and corroboration model.</x:v>
      </x:c>
    </x:row>
    <x:row r="29">
      <x:c r="A29" s="14" t="n">
        <x:v>39</x:v>
      </x:c>
      <x:c r="B29" s="14" t="str">
        <x:v>MemAudit: Post-hoc Auditing of Poisoned Agent Memory via Causal Attribution and Structural Anomaly Detection</x:v>
      </x:c>
      <x:c r="C29" s="14" t="str">
        <x:v>Zhewen Tan et al.</x:v>
      </x:c>
      <x:c r="D29" s="14" t="n">
        <x:v>2026</x:v>
      </x:c>
      <x:c r="E29" s="14" t="str">
        <x:v>Preprint</x:v>
      </x:c>
      <x:c r="F29" s="14" t="str">
        <x:v>arXiv</x:v>
      </x:c>
      <x:c r="G29" s="14" t="str">
        <x:v>2605.23723</x:v>
      </x:c>
      <x:c r="H29" s="14" t="str">
        <x:v>2605.23723v1.pdf</x:v>
      </x:c>
      <x:c r="I29" s="14" t="str">
        <x:v>Defense / post-hoc audit</x:v>
      </x:c>
      <x:c r="J29" s="14" t="str">
        <x:v>Agent memory plus structural consistency graph</x:v>
      </x:c>
      <x:c r="K29" s="14" t="str">
        <x:v>Memory-enabled agents</x:v>
      </x:c>
      <x:c r="L29" s="14" t="str">
        <x:v>Post hoc: Retrieve / Execute / Audit</x:v>
      </x:c>
      <x:c r="M29" s="14" t="str">
        <x:v>Counterfactual influence plus structural anomaly detection</x:v>
      </x:c>
      <x:c r="N29" s="14" t="str">
        <x:v>Post-incident access to memory and execution observations</x:v>
      </x:c>
      <x:c r="O29" s="14" t="str">
        <x:v>After harmful behavior</x:v>
      </x:c>
      <x:c r="P29" s="14" t="str">
        <x:v>Core forensic paper combining counterfactual memory influence with a structural consistency graph to identify responsible memories after harmful behavior.</x:v>
      </x:c>
      <x:c r="Q29" s="14" t="str">
        <x:v>Direct post-hoc forensic study; extract attribution accuracy, ranking quality and ablation results.</x:v>
      </x:c>
      <x:c r="R29" s="14" t="str">
        <x:v>Candidate memories, counterfactual replays, anomaly graph and ranked responsible entries</x:v>
      </x:c>
      <x:c r="S29" s="14" t="str">
        <x:v>Partial</x:v>
      </x:c>
      <x:c r="T29" s="14" t="str">
        <x:v>Yes</x:v>
      </x:c>
      <x:c r="U29" s="14" t="str">
        <x:v>Yes</x:v>
      </x:c>
      <x:c r="V29" s="14" t="str">
        <x:v>Partial</x:v>
      </x:c>
      <x:c r="W29" s="14" t="str">
        <x:v>Partial</x:v>
      </x:c>
      <x:c r="X29" s="14" t="str">
        <x:v>Complete PDF</x:v>
      </x:c>
      <x:c r="Y29" s="14" t="str">
        <x:v>2605.23723v1.pdf</x:v>
      </x:c>
      <x:c r="Z29" s="14" t="str">
        <x:v>Incident reconstruction and causal-confidence ladder</x:v>
      </x:c>
      <x:c r="AA29" s="14" t="str">
        <x:v>Core include</x:v>
      </x:c>
      <x:c r="AB29" s="14" t="str">
        <x:v>Full text available</x:v>
      </x:c>
      <x:c r="AC29" s="14" t="str">
        <x:v>Matches corpus ID 39. Central to MEIRC, causal-confidence levels, and post-hoc remediation.</x:v>
      </x:c>
    </x:row>
    <x:row r="30">
      <x:c r="A30" s="14" t="n">
        <x:v>40</x:v>
      </x:c>
      <x:c r="B30" s="14" t="str">
        <x:v>Forensic Trajectory Signatures for Agent Memory Poisoning Detection</x:v>
      </x:c>
      <x:c r="C30" s="14" t="str">
        <x:v>Jun Wen Leong</x:v>
      </x:c>
      <x:c r="D30" s="14" t="n">
        <x:v>2026</x:v>
      </x:c>
      <x:c r="E30" s="14" t="str">
        <x:v>Preprint</x:v>
      </x:c>
      <x:c r="F30" s="14" t="str">
        <x:v>arXiv</x:v>
      </x:c>
      <x:c r="G30" s="14" t="str">
        <x:v>2606.30566</x:v>
      </x:c>
      <x:c r="H30" s="14" t="str">
        <x:v>2606.30566v1.pdf</x:v>
      </x:c>
      <x:c r="I30" s="14" t="str">
        <x:v>Defense / forensics</x:v>
      </x:c>
      <x:c r="J30" s="14" t="str">
        <x:v>Persistent memory reflected in tool-call trajectories</x:v>
      </x:c>
      <x:c r="K30" s="14" t="str">
        <x:v>Tool-using agents</x:v>
      </x:c>
      <x:c r="L30" s="14" t="str">
        <x:v>Execute / Detect</x:v>
      </x:c>
      <x:c r="M30" s="14" t="str">
        <x:v>Forensic trajectory signatures and real-time blocking</x:v>
      </x:c>
      <x:c r="N30" s="14" t="str">
        <x:v>Execution logs only</x:v>
      </x:c>
      <x:c r="O30" s="14" t="str">
        <x:v>During or after poisoned-memory use</x:v>
      </x:c>
      <x:c r="P30" s="14" t="str">
        <x:v>Directly identifies persistent-memory poisoning from tool-call trajectory invariants, supports real-time blocking, and distinguishes memory-channel attacks from prompt injection using logs alone.</x:v>
      </x:c>
      <x:c r="Q30" s="14" t="str">
        <x:v>Distinguishes memory-channel attacks from prompt injection using behavior traces; verify detection rates and false positives.</x:v>
      </x:c>
      <x:c r="R30" s="14" t="str">
        <x:v>Tool-call trajectories, invariants, signatures and detection decisions</x:v>
      </x:c>
      <x:c r="S30" s="14" t="str">
        <x:v>No</x:v>
      </x:c>
      <x:c r="T30" s="14" t="str">
        <x:v>Yes</x:v>
      </x:c>
      <x:c r="U30" s="14" t="str">
        <x:v>Partial</x:v>
      </x:c>
      <x:c r="V30" s="14" t="str">
        <x:v>Partial</x:v>
      </x:c>
      <x:c r="W30" s="14" t="str">
        <x:v>No</x:v>
      </x:c>
      <x:c r="X30" s="14" t="str">
        <x:v>Complete PDF</x:v>
      </x:c>
      <x:c r="Y30" s="14" t="str">
        <x:v>2606.30566v1.pdf</x:v>
      </x:c>
      <x:c r="Z30" s="14" t="str">
        <x:v>Behavioral evidence and attack-channel attribution</x:v>
      </x:c>
      <x:c r="AA30" s="14" t="str">
        <x:v>Core include</x:v>
      </x:c>
      <x:c r="AB30" s="14" t="str">
        <x:v>Full text available</x:v>
      </x:c>
      <x:c r="AC30" s="14" t="str">
        <x:v>Matches corpus ID 40. Central to behavioral evidence, channel attribution, and evidential confidence.</x:v>
      </x:c>
    </x:row>
    <x:row r="31">
      <x:c r="A31" s="14" t="n">
        <x:v>42</x:v>
      </x:c>
      <x:c r="B31" s="14" t="str">
        <x:v>A-MemGuard: A Proactive Defense Framework for LLM-Based Agent Memory</x:v>
      </x:c>
      <x:c r="C31" s="14" t="str">
        <x:v>Qianshan Wei et al.</x:v>
      </x:c>
      <x:c r="D31" s="14" t="n">
        <x:v>2025</x:v>
      </x:c>
      <x:c r="E31" s="14" t="str">
        <x:v>Preprint</x:v>
      </x:c>
      <x:c r="F31" s="14" t="str">
        <x:v>arXiv</x:v>
      </x:c>
      <x:c r="G31" s="14" t="str">
        <x:v>2510.02373</x:v>
      </x:c>
      <x:c r="H31" s="14" t="str">
        <x:v>2510.02373v1.pdf</x:v>
      </x:c>
      <x:c r="I31" s="14" t="str">
        <x:v>Defense</x:v>
      </x:c>
      <x:c r="J31" s="14" t="str">
        <x:v>Long-term agent memory and lesson memory</x:v>
      </x:c>
      <x:c r="K31" s="14" t="str">
        <x:v>Memory-enabled agents</x:v>
      </x:c>
      <x:c r="L31" s="14" t="str">
        <x:v>Write / Validate / Retrieve / Recover</x:v>
      </x:c>
      <x:c r="M31" s="14" t="str">
        <x:v>Consensus validation plus adaptive lesson-memory correction</x:v>
      </x:c>
      <x:c r="N31" s="14" t="str">
        <x:v>Defense layer observes candidate memory and context</x:v>
      </x:c>
      <x:c r="O31" s="14" t="str">
        <x:v>Pre-write and later self-correction</x:v>
      </x:c>
      <x:c r="P31" s="14" t="str">
        <x:v>Direct memory-native defense using context-aware consensus validation and a lesson-memory layer to interrupt self-reinforcing poisoning cycles. Core evidence for prevention, adaptive correction, and recovery.</x:v>
      </x:c>
      <x:c r="Q31" s="14" t="str">
        <x:v>Memory-native proactive defense interrupts self-reinforcing poisoning cycles; verify detection/utility values.</x:v>
      </x:c>
      <x:c r="R31" s="14" t="str">
        <x:v>Validation votes, accepted/rejected entries, lesson memories and downstream outcomes</x:v>
      </x:c>
      <x:c r="S31" s="14" t="str">
        <x:v>Partial</x:v>
      </x:c>
      <x:c r="T31" s="14" t="str">
        <x:v>Partial</x:v>
      </x:c>
      <x:c r="U31" s="14" t="str">
        <x:v>Partial</x:v>
      </x:c>
      <x:c r="V31" s="14" t="str">
        <x:v>No</x:v>
      </x:c>
      <x:c r="W31" s="14" t="str">
        <x:v>Yes</x:v>
      </x:c>
      <x:c r="X31" s="14" t="str">
        <x:v>Complete PDF</x:v>
      </x:c>
      <x:c r="Y31" s="14" t="str">
        <x:v>2510.02373v1.pdf</x:v>
      </x:c>
      <x:c r="Z31" s="14" t="str">
        <x:v>Prevention, adaptive correction and recovery</x:v>
      </x:c>
      <x:c r="AA31" s="14" t="str">
        <x:v>Core include</x:v>
      </x:c>
      <x:c r="AB31" s="14" t="str">
        <x:v>Full text available</x:v>
      </x:c>
      <x:c r="AC31" s="14" t="str">
        <x:v>Matches corpus ID 42.</x:v>
      </x:c>
    </x:row>
    <x:row r="32">
      <x:c r="A32" s="14" t="n">
        <x:v>50</x:v>
      </x:c>
      <x:c r="B32" s="14" t="str">
        <x:v>Collaborative Memory: Multi-User Memory Sharing in LLM Agents with Dynamic Access Control</x:v>
      </x:c>
      <x:c r="C32" s="14" t="str">
        <x:v>Alireza Rezazadeh et al.</x:v>
      </x:c>
      <x:c r="D32" s="14" t="n">
        <x:v>2025</x:v>
      </x:c>
      <x:c r="E32" s="14" t="str">
        <x:v>Preprint</x:v>
      </x:c>
      <x:c r="F32" s="14" t="str">
        <x:v>arXiv</x:v>
      </x:c>
      <x:c r="G32" s="14" t="str">
        <x:v>2505.18279</x:v>
      </x:c>
      <x:c r="H32" s="14" t="str">
        <x:v>2505.18279v1.pdf</x:v>
      </x:c>
      <x:c r="I32" s="14" t="str">
        <x:v>Defense / governance</x:v>
      </x:c>
      <x:c r="J32" s="14" t="str">
        <x:v>Private/shared multi-user memory</x:v>
      </x:c>
      <x:c r="K32" s="14" t="str">
        <x:v>Multi-user and multi-agent systems</x:v>
      </x:c>
      <x:c r="L32" s="14" t="str">
        <x:v>Write / Share / Retrieve / Update</x:v>
      </x:c>
      <x:c r="M32" s="14" t="str">
        <x:v>Dynamic access control, immutable provenance and retrospective permission checks</x:v>
      </x:c>
      <x:c r="N32" s="14" t="str">
        <x:v>Role/principal-scoped policy</x:v>
      </x:c>
      <x:c r="O32" s="14" t="str">
        <x:v>Read/write/share operations</x:v>
      </x:c>
      <x:c r="P32" s="14" t="str">
        <x:v>Direct persistent multi-user and multi-agent memory framework with private/shared tiers, immutable provenance, dynamic read/write policies, retrospective permission checks, and auditable memory operations.</x:v>
      </x:c>
      <x:c r="Q32" s="14" t="str">
        <x:v>Demonstrates auditable shared-memory governance; verify policy overhead and evaluation scale.</x:v>
      </x:c>
      <x:c r="R32" s="14" t="str">
        <x:v>Principal IDs, ACL decisions, immutable provenance and audit records</x:v>
      </x:c>
      <x:c r="S32" s="14" t="str">
        <x:v>Yes</x:v>
      </x:c>
      <x:c r="T32" s="14" t="str">
        <x:v>Yes</x:v>
      </x:c>
      <x:c r="U32" s="14" t="str">
        <x:v>No</x:v>
      </x:c>
      <x:c r="V32" s="14" t="str">
        <x:v>Yes</x:v>
      </x:c>
      <x:c r="W32" s="14" t="str">
        <x:v>Partial</x:v>
      </x:c>
      <x:c r="X32" s="14" t="str">
        <x:v>Complete PDF</x:v>
      </x:c>
      <x:c r="Y32" s="14" t="str">
        <x:v>2505.18279v1.pdf</x:v>
      </x:c>
      <x:c r="Z32" s="14" t="str">
        <x:v>Access control, shared memory and accountability</x:v>
      </x:c>
      <x:c r="AA32" s="14" t="str">
        <x:v>Core include</x:v>
      </x:c>
      <x:c r="AB32" s="14" t="str">
        <x:v>Full text available</x:v>
      </x:c>
      <x:c r="AC32" s="14" t="str">
        <x:v>Matches corpus ID 50. Core evidence for authority, provenance, temporal permissions, and shared-memory governance.</x:v>
      </x:c>
    </x:row>
    <x:row r="33">
      <x:c r="A33" s="14" t="n">
        <x:v>53</x:v>
      </x:c>
      <x:c r="B33" s="14" t="str">
        <x:v>SuperLocalMemory: Privacy-Preserving Multi-Agent Memory with Bayesian Trust Defense Against Memory Poisoning</x:v>
      </x:c>
      <x:c r="C33" s="14" t="str">
        <x:v>Varun Pratap Bhardwaj</x:v>
      </x:c>
      <x:c r="D33" s="14" t="n">
        <x:v>2026</x:v>
      </x:c>
      <x:c r="E33" s="14" t="str">
        <x:v>Preprint</x:v>
      </x:c>
      <x:c r="F33" s="14" t="str">
        <x:v>arXiv</x:v>
      </x:c>
      <x:c r="G33" s="14" t="str">
        <x:v>2603.02240</x:v>
      </x:c>
      <x:c r="H33" s="14" t="str">
        <x:v>2603.02240v1.pdf</x:v>
      </x:c>
      <x:c r="I33" s="14" t="str">
        <x:v>Defense / system</x:v>
      </x:c>
      <x:c r="J33" s="14" t="str">
        <x:v>Per-agent local persistent memory</x:v>
      </x:c>
      <x:c r="K33" s="14" t="str">
        <x:v>Multi-agent systems</x:v>
      </x:c>
      <x:c r="L33" s="14" t="str">
        <x:v>Write / Retrieve / Share / Erase</x:v>
      </x:c>
      <x:c r="M33" s="14" t="str">
        <x:v>Local isolation and Bayesian trust defense</x:v>
      </x:c>
      <x:c r="N33" s="14" t="str">
        <x:v>Per-agent provenance and trust scoring</x:v>
      </x:c>
      <x:c r="O33" s="14" t="str">
        <x:v>Memory exchange and retrieval</x:v>
      </x:c>
      <x:c r="P33" s="14" t="str">
        <x:v>Direct persistent multi-agent memory architecture with per-agent provenance, Bayesian trust scoring, local isolation, erasure support, and poisoning evaluation. Relevant to provenance, trust, and recovery.</x:v>
      </x:c>
      <x:c r="Q33" s="14" t="str">
        <x:v>Reports poisoning defense and privacy-preserving local memory; verify quantitative security/utility results.</x:v>
      </x:c>
      <x:c r="R33" s="14" t="str">
        <x:v>Source agent, trust posterior, accepted/rejected memory and erasure records</x:v>
      </x:c>
      <x:c r="S33" s="14" t="str">
        <x:v>Yes</x:v>
      </x:c>
      <x:c r="T33" s="14" t="str">
        <x:v>Yes</x:v>
      </x:c>
      <x:c r="U33" s="14" t="str">
        <x:v>Partial</x:v>
      </x:c>
      <x:c r="V33" s="14" t="str">
        <x:v>Yes</x:v>
      </x:c>
      <x:c r="W33" s="14" t="str">
        <x:v>Yes</x:v>
      </x:c>
      <x:c r="X33" s="14" t="str">
        <x:v>Complete PDF</x:v>
      </x:c>
      <x:c r="Y33" s="14" t="str">
        <x:v>2603.02240v1.pdf</x:v>
      </x:c>
      <x:c r="Z33" s="14" t="str">
        <x:v>Trust-aware multi-agent memory and erasure</x:v>
      </x:c>
      <x:c r="AA33" s="14" t="str">
        <x:v>Core include</x:v>
      </x:c>
      <x:c r="AB33" s="14" t="str">
        <x:v>Full text available</x:v>
      </x:c>
      <x:c r="AC33" s="14" t="str">
        <x:v>Matches corpus ID 53. Treat production-attack claims cautiously and distinguish system evaluation from independently reproduced evidence.</x:v>
      </x:c>
    </x:row>
    <x:row r="34">
      <x:c r="A34" s="14" t="n">
        <x:v>54</x:v>
      </x:c>
      <x:c r="B34" s="14" t="str">
        <x:v>MEMSAD: Gradient-Coupled Anomaly Detection for Memory Poisoning in Retrieval-Augmented Agents</x:v>
      </x:c>
      <x:c r="C34" s="14" t="str">
        <x:v>Ishrith Gowda</x:v>
      </x:c>
      <x:c r="D34" s="14" t="n">
        <x:v>2026</x:v>
      </x:c>
      <x:c r="E34" s="14" t="str">
        <x:v>Preprint</x:v>
      </x:c>
      <x:c r="F34" s="14" t="str">
        <x:v>arXiv</x:v>
      </x:c>
      <x:c r="G34" s="14" t="str">
        <x:v>2605.03482</x:v>
      </x:c>
      <x:c r="H34" s="14" t="str">
        <x:v>2605.03482v2.pdf</x:v>
      </x:c>
      <x:c r="I34" s="14" t="str">
        <x:v>Defense</x:v>
      </x:c>
      <x:c r="J34" s="14" t="str">
        <x:v>Persistent external retrieval memory</x:v>
      </x:c>
      <x:c r="K34" s="14" t="str">
        <x:v>Retrieval-augmented agents</x:v>
      </x:c>
      <x:c r="L34" s="14" t="str">
        <x:v>Write / Retrieve / Detect</x:v>
      </x:c>
      <x:c r="M34" s="14" t="str">
        <x:v>Gradient-coupled calibrated anomaly detection</x:v>
      </x:c>
      <x:c r="N34" s="14" t="str">
        <x:v>Defense monitors memory records and gradients/features</x:v>
      </x:c>
      <x:c r="O34" s="14" t="str">
        <x:v>Online memory admission/retrieval</x:v>
      </x:c>
      <x:c r="P34" s="14" t="str">
        <x:v>Directly formalizes poisoning of persistent external agent memory and proposes a calibrated anomaly detector with theoretical guarantees, online calibration, and real-system validation. Core defense evidence.</x:v>
      </x:c>
      <x:c r="Q34" s="14" t="str">
        <x:v>Provides theoretical and empirical detection guarantees; extract TPR/FPR, calibration and system overhead.</x:v>
      </x:c>
      <x:c r="R34" s="14" t="str">
        <x:v>Anomaly score, calibration set, accepted/rejected records and detection logs</x:v>
      </x:c>
      <x:c r="S34" s="14" t="str">
        <x:v>Partial</x:v>
      </x:c>
      <x:c r="T34" s="14" t="str">
        <x:v>Partial</x:v>
      </x:c>
      <x:c r="U34" s="14" t="str">
        <x:v>No</x:v>
      </x:c>
      <x:c r="V34" s="14" t="str">
        <x:v>No</x:v>
      </x:c>
      <x:c r="W34" s="14" t="str">
        <x:v>No</x:v>
      </x:c>
      <x:c r="X34" s="14" t="str">
        <x:v>Complete PDF</x:v>
      </x:c>
      <x:c r="Y34" s="14" t="str">
        <x:v>2605.03482v2.pdf</x:v>
      </x:c>
      <x:c r="Z34" s="14" t="str">
        <x:v>Memory-poisoning detection</x:v>
      </x:c>
      <x:c r="AA34" s="14" t="str">
        <x:v>Core include</x:v>
      </x:c>
      <x:c r="AB34" s="14" t="str">
        <x:v>Full text available</x:v>
      </x:c>
      <x:c r="AC34" s="14" t="str">
        <x:v>Matches corpus ID 54. Record formal guarantees, attack-access classes, detection metrics, and synonym-invariance limitation.</x:v>
      </x:c>
    </x:row>
    <x:row r="35">
      <x:c r="A35" s="14" t="n">
        <x:v>55</x:v>
      </x:c>
      <x:c r="B35" s="14" t="str">
        <x:v>Agentic Unlearning: When LLM Agent Meets Machine Unlearning</x:v>
      </x:c>
      <x:c r="C35" s="14" t="str">
        <x:v>Bin Wang et al.</x:v>
      </x:c>
      <x:c r="D35" s="14" t="n">
        <x:v>2026</x:v>
      </x:c>
      <x:c r="E35" s="14" t="str">
        <x:v>Preprint</x:v>
      </x:c>
      <x:c r="F35" s="14" t="str">
        <x:v>arXiv</x:v>
      </x:c>
      <x:c r="G35" s="14" t="str">
        <x:v>2602.17692</x:v>
      </x:c>
      <x:c r="H35" s="14" t="str">
        <x:v>2602.17692v2.pdf</x:v>
      </x:c>
      <x:c r="I35" s="14" t="str">
        <x:v>Defense / recovery</x:v>
      </x:c>
      <x:c r="J35" s="14" t="str">
        <x:v>External memory plus parameter memory</x:v>
      </x:c>
      <x:c r="K35" s="14" t="str">
        <x:v>Self-evolving LLM agents</x:v>
      </x:c>
      <x:c r="L35" s="14" t="str">
        <x:v>Forget / Recover</x:v>
      </x:c>
      <x:c r="M35" s="14" t="str">
        <x:v>Dependency-closure unlearning and synchronized memory/parameter recovery</x:v>
      </x:c>
      <x:c r="N35" s="14" t="str">
        <x:v>Recovery authority over memories and model updates</x:v>
      </x:c>
      <x:c r="O35" s="14" t="str">
        <x:v>Post-deletion / post-compromise</x:v>
      </x:c>
      <x:c r="P35" s="14" t="str">
        <x:v>Directly addresses persistent agent memory and parameter-memory backflow, proposing dependency-closure memory unlearning and synchronized recovery. Central to residual contamination and recontamination analysis.</x:v>
      </x:c>
      <x:c r="Q35" s="14" t="str">
        <x:v>Targets parameter–memory backflow and recontamination; extract forgetting efficacy, utility and residual-risk metrics.</x:v>
      </x:c>
      <x:c r="R35" s="14" t="str">
        <x:v>Dependency graph, deletion set, model/memory updates and recontamination tests</x:v>
      </x:c>
      <x:c r="S35" s="14" t="str">
        <x:v>Partial</x:v>
      </x:c>
      <x:c r="T35" s="14" t="str">
        <x:v>Partial</x:v>
      </x:c>
      <x:c r="U35" s="14" t="str">
        <x:v>Partial</x:v>
      </x:c>
      <x:c r="V35" s="14" t="str">
        <x:v>Yes</x:v>
      </x:c>
      <x:c r="W35" s="14" t="str">
        <x:v>Yes</x:v>
      </x:c>
      <x:c r="X35" s="14" t="str">
        <x:v>Complete PDF</x:v>
      </x:c>
      <x:c r="Y35" s="14" t="str">
        <x:v>2602.17692v2.pdf</x:v>
      </x:c>
      <x:c r="Z35" s="14" t="str">
        <x:v>Recovery completeness and recontamination</x:v>
      </x:c>
      <x:c r="AA35" s="14" t="str">
        <x:v>Core include</x:v>
      </x:c>
      <x:c r="AB35" s="14" t="str">
        <x:v>Full text available</x:v>
      </x:c>
      <x:c r="AC35" s="14" t="str">
        <x:v>Matches corpus ID 55.</x:v>
      </x:c>
    </x:row>
    <x:row r="36">
      <x:c r="A36" s="14" t="n">
        <x:v>59</x:v>
      </x:c>
      <x:c r="B36" s="14" t="str">
        <x:v>Mem2ActBench: A Benchmark for Evaluating Long-Term Memory Utilization in Task-Oriented Autonomous Agents</x:v>
      </x:c>
      <x:c r="C36" s="14" t="str">
        <x:v>Yiting Shen et al.</x:v>
      </x:c>
      <x:c r="D36" s="14" t="n">
        <x:v>2026</x:v>
      </x:c>
      <x:c r="E36" s="14" t="str">
        <x:v>Peer-reviewed</x:v>
      </x:c>
      <x:c r="F36" s="14" t="str">
        <x:v>ACL 2026</x:v>
      </x:c>
      <x:c r="G36" s="14" t="str">
        <x:v>2601.19935</x:v>
      </x:c>
      <x:c r="H36" s="14" t="str">
        <x:v>2026.acl-long.370.pdf</x:v>
      </x:c>
      <x:c r="I36" s="14" t="str">
        <x:v>Benchmark</x:v>
      </x:c>
      <x:c r="J36" s="14" t="str">
        <x:v>Long-term task memory</x:v>
      </x:c>
      <x:c r="K36" s="14" t="str">
        <x:v>Task-oriented tool-using autonomous agents</x:v>
      </x:c>
      <x:c r="L36" s="14" t="str">
        <x:v>Retrieve / Execute</x:v>
      </x:c>
      <x:c r="M36" s="14" t="str">
        <x:v>Benchmark of translating memory into grounded tool actions</x:v>
      </x:c>
      <x:c r="N36" s="14" t="str">
        <x:v>Evaluation benchmark</x:v>
      </x:c>
      <x:c r="O36" s="14" t="str">
        <x:v>Task-conditioned memory use</x:v>
      </x:c>
      <x:c r="P36" s="14" t="str">
        <x:v>Evaluates whether persistent memory is actively translated into tool calls and grounded parameters. Essential for the memory-to-action link underlying causal reconstruction.</x:v>
      </x:c>
      <x:c r="Q36" s="14" t="str">
        <x:v>Measures whether retrieved memory is operationally applied rather than merely recalled; extract benchmark size and scores.</x:v>
      </x:c>
      <x:c r="R36" s="14" t="str">
        <x:v>Memory items, tool calls, grounded parameters and task outcomes</x:v>
      </x:c>
      <x:c r="S36" s="14" t="str">
        <x:v>No</x:v>
      </x:c>
      <x:c r="T36" s="14" t="str">
        <x:v>Partial</x:v>
      </x:c>
      <x:c r="U36" s="14" t="str">
        <x:v>Yes</x:v>
      </x:c>
      <x:c r="V36" s="14" t="str">
        <x:v>No</x:v>
      </x:c>
      <x:c r="W36" s="14" t="str">
        <x:v>No</x:v>
      </x:c>
      <x:c r="X36" s="14" t="str">
        <x:v>Complete PDF</x:v>
      </x:c>
      <x:c r="Y36" s="14" t="str">
        <x:v>2026.acl-long.370.pdf</x:v>
      </x:c>
      <x:c r="Z36" s="14" t="str">
        <x:v>Benchmark: memory-to-action causality</x:v>
      </x:c>
      <x:c r="AA36" s="14" t="str">
        <x:v>Core include</x:v>
      </x:c>
      <x:c r="AB36" s="14" t="str">
        <x:v>Full text available</x:v>
      </x:c>
      <x:c r="AC36" s="14" t="str">
        <x:v>Matches corpus ID 59.</x:v>
      </x:c>
    </x:row>
    <x:row r="37">
      <x:c r="A37" s="14" t="n">
        <x:v>60</x:v>
      </x:c>
      <x:c r="B37" s="14" t="str">
        <x:v>GATEMEM: Benchmarking Memory Governance in Multi-Principal Shared-Memory Agents</x:v>
      </x:c>
      <x:c r="C37" s="14" t="str">
        <x:v>Zhe Ren et al.</x:v>
      </x:c>
      <x:c r="D37" s="14" t="n">
        <x:v>2026</x:v>
      </x:c>
      <x:c r="E37" s="14" t="str">
        <x:v>Preprint</x:v>
      </x:c>
      <x:c r="F37" s="14" t="str">
        <x:v>arXiv</x:v>
      </x:c>
      <x:c r="G37" s="14" t="str">
        <x:v>2606.18829</x:v>
      </x:c>
      <x:c r="H37" s="14" t="str">
        <x:v>2606.18829v1.pdf</x:v>
      </x:c>
      <x:c r="I37" s="14" t="str">
        <x:v>Benchmark</x:v>
      </x:c>
      <x:c r="J37" s="14" t="str">
        <x:v>Multi-principal shared persistent memory</x:v>
      </x:c>
      <x:c r="K37" s="14" t="str">
        <x:v>Shared-memory agents</x:v>
      </x:c>
      <x:c r="L37" s="14" t="str">
        <x:v>Write / Share / Forget / Recover</x:v>
      </x:c>
      <x:c r="M37" s="14" t="str">
        <x:v>Governance benchmark for utility, access control and active forgetting</x:v>
      </x:c>
      <x:c r="N37" s="14" t="str">
        <x:v>Evaluation across principals and policies</x:v>
      </x:c>
      <x:c r="O37" s="14" t="str">
        <x:v>Cross-principal use and deletion</x:v>
      </x:c>
      <x:c r="P37" s="14" t="str">
        <x:v>Directly evaluates shared persistent memory across multiple principals using utility, access control, and active forgetting. Central evidence for governance, blast radius, authority, and post-deletion non-recovery.</x:v>
      </x:c>
      <x:c r="Q37" s="14" t="str">
        <x:v>Benchmarks governance and post-deletion non-recovery; extract task count, policy violations and forgetting metrics.</x:v>
      </x:c>
      <x:c r="R37" s="14" t="str">
        <x:v>Principal-scoped records, access decisions, deletion requests and post-delete retrieval tests</x:v>
      </x:c>
      <x:c r="S37" s="14" t="str">
        <x:v>Partial</x:v>
      </x:c>
      <x:c r="T37" s="14" t="str">
        <x:v>Yes</x:v>
      </x:c>
      <x:c r="U37" s="14" t="str">
        <x:v>Partial</x:v>
      </x:c>
      <x:c r="V37" s="14" t="str">
        <x:v>Yes</x:v>
      </x:c>
      <x:c r="W37" s="14" t="str">
        <x:v>Yes</x:v>
      </x:c>
      <x:c r="X37" s="14" t="str">
        <x:v>Complete PDF</x:v>
      </x:c>
      <x:c r="Y37" s="14" t="str">
        <x:v>2606.18829v1.pdf</x:v>
      </x:c>
      <x:c r="Z37" s="14" t="str">
        <x:v>Benchmark: governance, authority and recovery</x:v>
      </x:c>
      <x:c r="AA37" s="14" t="str">
        <x:v>Core include</x:v>
      </x:c>
      <x:c r="AB37" s="14" t="str">
        <x:v>Full text available</x:v>
      </x:c>
      <x:c r="AC37" s="14" t="str">
        <x:v>Matches corpus ID 60.</x:v>
      </x:c>
    </x:row>
    <x:row r="38">
      <x:c r="A38" s="14" t="n">
        <x:v>61</x:v>
      </x:c>
      <x:c r="B38" s="14" t="str">
        <x:v>CIMemories: A Compositional Benchmark for Contextual Integrity of Persistent Memory in LLMs</x:v>
      </x:c>
      <x:c r="C38" s="14" t="str">
        <x:v>Niloofar Mireshghallah et al.</x:v>
      </x:c>
      <x:c r="D38" s="14" t="n">
        <x:v>2025</x:v>
      </x:c>
      <x:c r="E38" s="14" t="str">
        <x:v>Preprint</x:v>
      </x:c>
      <x:c r="F38" s="14" t="str">
        <x:v>arXiv</x:v>
      </x:c>
      <x:c r="G38" s="14" t="str">
        <x:v>2511.14937</x:v>
      </x:c>
      <x:c r="H38" s="14" t="str">
        <x:v>2511.14937v1.pdf</x:v>
      </x:c>
      <x:c r="I38" s="14" t="str">
        <x:v>Benchmark</x:v>
      </x:c>
      <x:c r="J38" s="14" t="str">
        <x:v>Persistent user memory</x:v>
      </x:c>
      <x:c r="K38" s="14" t="str">
        <x:v>Memory-enabled LLM systems</x:v>
      </x:c>
      <x:c r="L38" s="14" t="str">
        <x:v>Retrieve / Execute</x:v>
      </x:c>
      <x:c r="M38" s="14" t="str">
        <x:v>Contextual-integrity benchmark for compositional leakage</x:v>
      </x:c>
      <x:c r="N38" s="14" t="str">
        <x:v>Evaluation benchmark</x:v>
      </x:c>
      <x:c r="O38" s="14" t="str">
        <x:v>Cross-task and repeated-use leakage</x:v>
      </x:c>
      <x:c r="P38" s="14" t="str">
        <x:v>Direct persistent-memory privacy benchmark measuring context-dependent information-flow violations, cumulative leakage across tasks/runs, and utility trade-offs.</x:v>
      </x:c>
      <x:c r="Q38" s="14" t="str">
        <x:v>Measures contextual-integrity violations and cumulative leakage across tasks/runs; extract violation and utility metrics.</x:v>
      </x:c>
      <x:c r="R38" s="14" t="str">
        <x:v>Memory content, task contexts, information flows and leakage outcomes</x:v>
      </x:c>
      <x:c r="S38" s="14" t="str">
        <x:v>Partial</x:v>
      </x:c>
      <x:c r="T38" s="14" t="str">
        <x:v>Partial</x:v>
      </x:c>
      <x:c r="U38" s="14" t="str">
        <x:v>Partial</x:v>
      </x:c>
      <x:c r="V38" s="14" t="str">
        <x:v>Partial</x:v>
      </x:c>
      <x:c r="W38" s="14" t="str">
        <x:v>No</x:v>
      </x:c>
      <x:c r="X38" s="14" t="str">
        <x:v>Complete PDF</x:v>
      </x:c>
      <x:c r="Y38" s="14" t="str">
        <x:v>2511.14937v1.pdf</x:v>
      </x:c>
      <x:c r="Z38" s="14" t="str">
        <x:v>Benchmark: privacy and contextual integrity</x:v>
      </x:c>
      <x:c r="AA38" s="14" t="str">
        <x:v>Core include</x:v>
      </x:c>
      <x:c r="AB38" s="14" t="str">
        <x:v>Full text available</x:v>
      </x:c>
      <x:c r="AC38" s="14" t="str">
        <x:v>Matches corpus ID 61. Treat the uploaded version as a preprint unless an official ICLR 2026 record is verified separately.</x:v>
      </x:c>
    </x:row>
    <x:row r="39">
      <x:c r="A39" s="14" t="n">
        <x:v>62</x:v>
      </x:c>
      <x:c r="B39" s="14" t="str">
        <x:v>PersistBench: When Should Long-Term Memories Be Forgotten by LLMs?</x:v>
      </x:c>
      <x:c r="C39" s="14" t="str">
        <x:v>Sidharth Pulipaka et al.</x:v>
      </x:c>
      <x:c r="D39" s="14" t="n">
        <x:v>2026</x:v>
      </x:c>
      <x:c r="E39" s="14" t="str">
        <x:v>Peer-reviewed</x:v>
      </x:c>
      <x:c r="F39" s="14" t="str">
        <x:v>ICML 2026 / PMLR 306</x:v>
      </x:c>
      <x:c r="G39" s="14" t="str">
        <x:v>2602.01146</x:v>
      </x:c>
      <x:c r="H39" s="14" t="str">
        <x:v>2602.01146v2.pdf</x:v>
      </x:c>
      <x:c r="I39" s="14" t="str">
        <x:v>Benchmark</x:v>
      </x:c>
      <x:c r="J39" s="14" t="str">
        <x:v>Long-term user memory</x:v>
      </x:c>
      <x:c r="K39" s="14" t="str">
        <x:v>Persistent-memory assistants</x:v>
      </x:c>
      <x:c r="L39" s="14" t="str">
        <x:v>Retrieve / Forget</x:v>
      </x:c>
      <x:c r="M39" s="14" t="str">
        <x:v>Benchmark for when memories should be retained or forgotten</x:v>
      </x:c>
      <x:c r="N39" s="14" t="str">
        <x:v>Evaluation benchmark</x:v>
      </x:c>
      <x:c r="O39" s="14" t="str">
        <x:v>Cross-domain and stale-memory use</x:v>
      </x:c>
      <x:c r="P39" s="14" t="str">
        <x:v>Directly evaluates persistent-memory safety through cross-domain leakage, memory-induced sycophancy, and beneficial-memory controls. Highly relevant to semantic validity, temporal scope, and forgetting decisions.</x:v>
      </x:c>
      <x:c r="Q39" s="14" t="str">
        <x:v>Evaluates cross-domain leakage, memory-induced sycophancy and beneficial-memory retention; extract benchmark scale and trade-offs.</x:v>
      </x:c>
      <x:c r="R39" s="14" t="str">
        <x:v>Memory age/scope, retrieval, sycophancy/leakage and forgetting decisions</x:v>
      </x:c>
      <x:c r="S39" s="14" t="str">
        <x:v>Partial</x:v>
      </x:c>
      <x:c r="T39" s="14" t="str">
        <x:v>Partial</x:v>
      </x:c>
      <x:c r="U39" s="14" t="str">
        <x:v>Partial</x:v>
      </x:c>
      <x:c r="V39" s="14" t="str">
        <x:v>No</x:v>
      </x:c>
      <x:c r="W39" s="14" t="str">
        <x:v>Yes</x:v>
      </x:c>
      <x:c r="X39" s="14" t="str">
        <x:v>Complete PDF</x:v>
      </x:c>
      <x:c r="Y39" s="14" t="str">
        <x:v>2602.01146v2.pdf</x:v>
      </x:c>
      <x:c r="Z39" s="14" t="str">
        <x:v>Benchmark: temporal validity and forgetting</x:v>
      </x:c>
      <x:c r="AA39" s="14" t="str">
        <x:v>Core include</x:v>
      </x:c>
      <x:c r="AB39" s="14" t="str">
        <x:v>Full text available</x:v>
      </x:c>
      <x:c r="AC39" s="14" t="str">
        <x:v>Matches corpus ID 62. Uploaded version identifies the paper as an ICML 2026 proceedings paper; update final bibliography from the official PMLR record.</x:v>
      </x:c>
    </x:row>
    <x:row r="40">
      <x:c r="A40" s="14" t="n">
        <x:v>65</x:v>
      </x:c>
      <x:c r="B40" s="14" t="str">
        <x:v>Agent Security Bench (ASB): Formalizing and Benchmarking Attacks and Defenses in LLM-Based Agents</x:v>
      </x:c>
      <x:c r="C40" s="14" t="str">
        <x:v>Hanrong Zhang et al.</x:v>
      </x:c>
      <x:c r="D40" s="14" t="n">
        <x:v>2025</x:v>
      </x:c>
      <x:c r="E40" s="14" t="str">
        <x:v>Peer-reviewed</x:v>
      </x:c>
      <x:c r="F40" s="14" t="str">
        <x:v>ICLR 2025</x:v>
      </x:c>
      <x:c r="G40" s="14" t="str">
        <x:v>2410.02644</x:v>
      </x:c>
      <x:c r="H40" s="14" t="str">
        <x:v>7260_Agent_Security_Bench_ASB_.pdf</x:v>
      </x:c>
      <x:c r="I40" s="14" t="str">
        <x:v>Benchmark</x:v>
      </x:c>
      <x:c r="J40" s="14" t="str">
        <x:v>Agent memory among broader agent components</x:v>
      </x:c>
      <x:c r="K40" s="14" t="str">
        <x:v>Multiple LLM-agent tasks</x:v>
      </x:c>
      <x:c r="L40" s="14" t="str">
        <x:v>Multiple</x:v>
      </x:c>
      <x:c r="M40" s="14" t="str">
        <x:v>Broad benchmark of agent attacks and defenses</x:v>
      </x:c>
      <x:c r="N40" s="14" t="str">
        <x:v>Benchmark</x:v>
      </x:c>
      <x:c r="O40" s="14" t="str">
        <x:v>Memory poisoning plus other attack families</x:v>
      </x:c>
      <x:c r="P40" s="14" t="str">
        <x:v>Benchmarks memory poisoning alongside other agent attacks and defences; relevant as broad comparative benchmark but not forensic-specific.</x:v>
      </x:c>
      <x:c r="Q40" s="14" t="str">
        <x:v>Provides comparative memory-poisoning coverage inside a broad agent-security benchmark; extract memory-specific subset.</x:v>
      </x:c>
      <x:c r="R40" s="14" t="str">
        <x:v>Attack instances, agent trajectories, outputs and defense outcomes</x:v>
      </x:c>
      <x:c r="S40" s="14" t="str">
        <x:v>No</x:v>
      </x:c>
      <x:c r="T40" s="14" t="str">
        <x:v>No</x:v>
      </x:c>
      <x:c r="U40" s="14" t="str">
        <x:v>Partial</x:v>
      </x:c>
      <x:c r="V40" s="14" t="str">
        <x:v>No</x:v>
      </x:c>
      <x:c r="W40" s="14" t="str">
        <x:v>No</x:v>
      </x:c>
      <x:c r="X40" s="14" t="str">
        <x:v>Complete PDF</x:v>
      </x:c>
      <x:c r="Y40" s="14" t="str">
        <x:v>7260_Agent_Security_Bench_ASB_.pdf</x:v>
      </x:c>
      <x:c r="Z40" s="14" t="str">
        <x:v>Benchmark context and comparison</x:v>
      </x:c>
      <x:c r="AA40" s="14" t="str">
        <x:v>Core include</x:v>
      </x:c>
      <x:c r="AB40" s="14" t="str">
        <x:v>Full text available</x:v>
      </x:c>
      <x:c r="AC40" s="14" t="str">
        <x:v>Matches corpus ID 65.</x:v>
      </x:c>
    </x:row>
    <x:row r="41">
      <x:c r="A41" s="14" t="n">
        <x:v>66</x:v>
      </x:c>
      <x:c r="B41" s="14" t="str">
        <x:v>MemSyco-Bench: Benchmarking Sycophancy in Agent Memory</x:v>
      </x:c>
      <x:c r="C41" s="14" t="str">
        <x:v>Zhishang Xiang et al.</x:v>
      </x:c>
      <x:c r="D41" s="14" t="n">
        <x:v>2026</x:v>
      </x:c>
      <x:c r="E41" s="14" t="str">
        <x:v>Preprint</x:v>
      </x:c>
      <x:c r="F41" s="14" t="str">
        <x:v>arXiv</x:v>
      </x:c>
      <x:c r="G41" s="14" t="str">
        <x:v>2607.01071</x:v>
      </x:c>
      <x:c r="H41" s="14" t="str">
        <x:v>2607.01071v2.pdf</x:v>
      </x:c>
      <x:c r="I41" s="14" t="str">
        <x:v>Benchmark</x:v>
      </x:c>
      <x:c r="J41" s="14" t="str">
        <x:v>Retrieved persistent memories</x:v>
      </x:c>
      <x:c r="K41" s="14" t="str">
        <x:v>Memory-enabled LLMs</x:v>
      </x:c>
      <x:c r="L41" s="14" t="str">
        <x:v>Retrieve / Execute</x:v>
      </x:c>
      <x:c r="M41" s="14" t="str">
        <x:v>Benchmark of memory-induced sycophancy</x:v>
      </x:c>
      <x:c r="N41" s="14" t="str">
        <x:v>Evaluation benchmark</x:v>
      </x:c>
      <x:c r="O41" s="14" t="str">
        <x:v>Memory conflicts with current evidence/user intent</x:v>
      </x:c>
      <x:c r="P41" s="14" t="str">
        <x:v>Directly evaluates how retrieved persistent memories improperly influence downstream reasoning and decisions; relevant to semantic validity and causal influence.</x:v>
      </x:c>
      <x:c r="Q41" s="14" t="str">
        <x:v>Measures inappropriate influence of retrieved memory on reasoning and decisions; extract task count and influence scores.</x:v>
      </x:c>
      <x:c r="R41" s="14" t="str">
        <x:v>Memory-context pairs, model responses and influence labels</x:v>
      </x:c>
      <x:c r="S41" s="14" t="str">
        <x:v>No</x:v>
      </x:c>
      <x:c r="T41" s="14" t="str">
        <x:v>Partial</x:v>
      </x:c>
      <x:c r="U41" s="14" t="str">
        <x:v>Yes</x:v>
      </x:c>
      <x:c r="V41" s="14" t="str">
        <x:v>No</x:v>
      </x:c>
      <x:c r="W41" s="14" t="str">
        <x:v>No</x:v>
      </x:c>
      <x:c r="X41" s="14" t="str">
        <x:v>Complete PDF</x:v>
      </x:c>
      <x:c r="Y41" s="14" t="str">
        <x:v>2607.01071v2.pdf</x:v>
      </x:c>
      <x:c r="Z41" s="14" t="str">
        <x:v>Benchmark: semantic validity and influence</x:v>
      </x:c>
      <x:c r="AA41" s="14" t="str">
        <x:v>Core include</x:v>
      </x:c>
      <x:c r="AB41" s="14" t="str">
        <x:v>Full text available</x:v>
      </x:c>
      <x:c r="AC41" s="14" t="str">
        <x:v>Matches corpus ID 66; published before the 13 July 2026 evidence cut-off (2 July 2026).</x:v>
      </x:c>
    </x:row>
    <x:row r="42">
      <x:c r="A42" s="14" t="n">
        <x:v>67</x:v>
      </x:c>
      <x:c r="B42" s="14" t="str">
        <x:v>AgentLAB: Benchmarking LLM Agents against Long-Horizon Attacks</x:v>
      </x:c>
      <x:c r="C42" s="14" t="str">
        <x:v>Tanqiu Jiang et al.</x:v>
      </x:c>
      <x:c r="D42" s="14" t="n">
        <x:v>2026</x:v>
      </x:c>
      <x:c r="E42" s="14" t="str">
        <x:v>Preprint</x:v>
      </x:c>
      <x:c r="F42" s="14" t="str">
        <x:v>arXiv</x:v>
      </x:c>
      <x:c r="G42" s="14" t="str">
        <x:v>2602.16901</x:v>
      </x:c>
      <x:c r="H42" s="14" t="str">
        <x:v>2602.16901v1.pdf</x:v>
      </x:c>
      <x:c r="I42" s="14" t="str">
        <x:v>Benchmark</x:v>
      </x:c>
      <x:c r="J42" s="14" t="str">
        <x:v>Persistent memory in long-horizon agent environments</x:v>
      </x:c>
      <x:c r="K42" s="14" t="str">
        <x:v>Long-horizon agents</x:v>
      </x:c>
      <x:c r="L42" s="14" t="str">
        <x:v>Write / Retrieve / Execute</x:v>
      </x:c>
      <x:c r="M42" s="14" t="str">
        <x:v>Long-horizon attack benchmark</x:v>
      </x:c>
      <x:c r="N42" s="14" t="str">
        <x:v>Benchmark</x:v>
      </x:c>
      <x:c r="O42" s="14" t="str">
        <x:v>Temporal attacks over extended trajectories</x:v>
      </x:c>
      <x:c r="P42" s="14" t="str">
        <x:v>Includes long-horizon memory poisoning in persistent-memory environments; relevant benchmark evidence for temporal attacks and memory-to-action consequences.</x:v>
      </x:c>
      <x:c r="Q42" s="14" t="str">
        <x:v>Includes long-horizon memory poisoning and delayed consequences; extract attack scenarios and metrics.</x:v>
      </x:c>
      <x:c r="R42" s="14" t="str">
        <x:v>Attack events, memory state, long-horizon trajectories and task consequences</x:v>
      </x:c>
      <x:c r="S42" s="14" t="str">
        <x:v>Partial</x:v>
      </x:c>
      <x:c r="T42" s="14" t="str">
        <x:v>Partial</x:v>
      </x:c>
      <x:c r="U42" s="14" t="str">
        <x:v>Partial</x:v>
      </x:c>
      <x:c r="V42" s="14" t="str">
        <x:v>Partial</x:v>
      </x:c>
      <x:c r="W42" s="14" t="str">
        <x:v>No</x:v>
      </x:c>
      <x:c r="X42" s="14" t="str">
        <x:v>Complete PDF</x:v>
      </x:c>
      <x:c r="Y42" s="14" t="str">
        <x:v>2602.16901v1.pdf</x:v>
      </x:c>
      <x:c r="Z42" s="14" t="str">
        <x:v>Benchmark: temporal persistence and long-horizon attacks</x:v>
      </x:c>
      <x:c r="AA42" s="14" t="str">
        <x:v>Core include</x:v>
      </x:c>
      <x:c r="AB42" s="14" t="str">
        <x:v>Full text available</x:v>
      </x:c>
      <x:c r="AC42" s="14" t="str">
        <x:v>Matches corpus ID 67.</x:v>
      </x:c>
    </x:row>
  </x:sheetData>
  <x:mergeCells>
    <x:mergeCell ref="A1:AC1"/>
  </x:mergeCells>
  <x:conditionalFormatting sqref="S4:S42">
    <x:cfRule type="expression" dxfId="0" priority="1">
      <x:formula>S4="Yes"</x:formula>
    </x:cfRule>
    <x:cfRule type="expression" dxfId="1" priority="2">
      <x:formula>S4="No"</x:formula>
    </x:cfRule>
  </x:conditionalFormatting>
  <x:conditionalFormatting sqref="T4:T42">
    <x:cfRule type="expression" dxfId="2" priority="3">
      <x:formula>T4="Yes"</x:formula>
    </x:cfRule>
    <x:cfRule type="expression" dxfId="3" priority="4">
      <x:formula>T4="No"</x:formula>
    </x:cfRule>
  </x:conditionalFormatting>
  <x:conditionalFormatting sqref="U4:U42">
    <x:cfRule type="expression" dxfId="4" priority="5">
      <x:formula>U4="Yes"</x:formula>
    </x:cfRule>
    <x:cfRule type="expression" dxfId="5" priority="6">
      <x:formula>U4="No"</x:formula>
    </x:cfRule>
  </x:conditionalFormatting>
  <x:conditionalFormatting sqref="V4:V42">
    <x:cfRule type="expression" dxfId="6" priority="7">
      <x:formula>V4="Yes"</x:formula>
    </x:cfRule>
    <x:cfRule type="expression" dxfId="7" priority="8">
      <x:formula>V4="No"</x:formula>
    </x:cfRule>
  </x:conditionalFormatting>
  <x:conditionalFormatting sqref="W4:W42">
    <x:cfRule type="expression" dxfId="8" priority="9">
      <x:formula>W4="Yes"</x:formula>
    </x:cfRule>
    <x:cfRule type="expression" dxfId="9" priority="10">
      <x:formula>W4="No"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0719d7b2cb4a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4" hidden="0" customWidth="1"/>
    <x:col min="4" max="4" width="24" hidden="0" customWidth="1"/>
    <x:col min="5" max="5" width="28" hidden="0" customWidth="1"/>
    <x:col min="6" max="6" width="24" hidden="0" customWidth="1"/>
    <x:col min="7" max="7" width="18" hidden="0" customWidth="1"/>
    <x:col min="8" max="8" width="22" hidden="0" customWidth="1"/>
    <x:col min="9" max="9" width="30" hidden="0" customWidth="1"/>
    <x:col min="10" max="10" width="18" hidden="0" customWidth="1"/>
    <x:col min="11" max="11" width="38" hidden="0" customWidth="1"/>
    <x:col min="12" max="12" width="38" hidden="0" customWidth="1"/>
    <x:col min="13" max="13" width="14" hidden="0" customWidth="1"/>
    <x:col min="14" max="14" width="14" hidden="0" customWidth="1"/>
    <x:col min="15" max="15" width="38" hidden="0" customWidth="1"/>
    <x:col min="16" max="16" width="30" hidden="0" customWidth="1"/>
    <x:col min="17" max="17" width="24" hidden="0" customWidth="1"/>
  </x:cols>
  <x:sheetData>
    <x:row r="1">
      <x:c r="A1" s="4" t="str">
        <x:v>Attack and Failure Evidence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20" t="str">
        <x:v>ID</x:v>
      </x:c>
      <x:c r="B3" s="20" t="str">
        <x:v>Study</x:v>
      </x:c>
      <x:c r="C3" s="20" t="str">
        <x:v>Attack / failure class</x:v>
      </x:c>
      <x:c r="D3" s="20" t="str">
        <x:v>Entry channel</x:v>
      </x:c>
      <x:c r="E3" s="20" t="str">
        <x:v>Attacker capability</x:v>
      </x:c>
      <x:c r="F3" s="20" t="str">
        <x:v>Memory target</x:v>
      </x:c>
      <x:c r="G3" s="20" t="str">
        <x:v>Lifecycle point</x:v>
      </x:c>
      <x:c r="H3" s="20" t="str">
        <x:v>Activation pattern</x:v>
      </x:c>
      <x:c r="I3" s="20" t="str">
        <x:v>Downstream consequence</x:v>
      </x:c>
      <x:c r="J3" s="20" t="str">
        <x:v>Persistence scope</x:v>
      </x:c>
      <x:c r="K3" s="20" t="str">
        <x:v>Evidence left</x:v>
      </x:c>
      <x:c r="L3" s="20" t="str">
        <x:v>Evidence obscured / missing</x:v>
      </x:c>
      <x:c r="M3" s="20" t="str">
        <x:v>Attribution value</x:v>
      </x:c>
      <x:c r="N3" s="20" t="str">
        <x:v>Recovery difficulty</x:v>
      </x:c>
      <x:c r="O3" s="20" t="str">
        <x:v>Key metric / result</x:v>
      </x:c>
      <x:c r="P3" s="20" t="str">
        <x:v>Manuscript subsection</x:v>
      </x:c>
      <x:c r="Q3" s="20" t="str">
        <x:v>Verification</x:v>
      </x:c>
    </x:row>
    <x:row r="4">
      <x:c r="A4" s="14" t="n">
        <x:v>10</x:v>
      </x:c>
      <x:c r="B4" s="14" t="str">
        <x:v>AgentPoison: Red-Teaming LLM Agents via Poisoning Memory or Knowledge Bases</x:v>
      </x:c>
      <x:c r="C4" s="14" t="str">
        <x:v>Attack / backdoor</x:v>
      </x:c>
      <x:c r="D4" s="14" t="str">
        <x:v>Direct memory/KB write</x:v>
      </x:c>
      <x:c r="E4" s="14" t="str">
        <x:v>Direct write to memory or knowledge base</x:v>
      </x:c>
      <x:c r="F4" s="14" t="str">
        <x:v>Episodic / demonstration memory; RAG KB</x:v>
      </x:c>
      <x:c r="G4" s="14" t="str">
        <x:v>Store / Retrieve</x:v>
      </x:c>
      <x:c r="H4" s="14" t="str">
        <x:v>Trigger-based; recurrent</x:v>
      </x:c>
      <x:c r="I4" s="14" t="str">
        <x:v>Persistent harmful reasoning or action</x:v>
      </x:c>
      <x:c r="J4" s="14" t="str">
        <x:v>Cross-session</x:v>
      </x:c>
      <x:c r="K4" s="14" t="str">
        <x:v>Poisoned records, trigger, retrieval scores, agent outputs/actions</x:v>
      </x:c>
      <x:c r="L4" s="14" t="str">
        <x:v>Complete source-to-action lineage usually unavailable; provenance and write-approval evidence often absent.</x:v>
      </x:c>
      <x:c r="M4" s="14" t="str">
        <x:v>Partial</x:v>
      </x:c>
      <x:c r="N4" s="14" t="str">
        <x:v>High</x:v>
      </x:c>
      <x:c r="O4" s="14" t="str">
        <x:v>≥80% attack success; &lt;0.1% poison rate; ≤1% benign-performance impact.</x:v>
      </x:c>
      <x:c r="P4" s="14" t="str">
        <x:v>Attack foundations; direct-write threat model</x:v>
      </x:c>
      <x:c r="Q4" s="14" t="str">
        <x:v>Verify exact table values where noted</x:v>
      </x:c>
    </x:row>
    <x:row r="5">
      <x:c r="A5" s="14" t="n">
        <x:v>11</x:v>
      </x:c>
      <x:c r="B5" s="14" t="str">
        <x:v>Memory Injection Attacks on LLM Agents via Query-Only Interaction</x:v>
      </x:c>
      <x:c r="C5" s="14" t="str">
        <x:v>Attack / query-only injection</x:v>
      </x:c>
      <x:c r="D5" s="14" t="str">
        <x:v>Query-only interaction</x:v>
      </x:c>
      <x:c r="E5" s="14" t="str">
        <x:v>Black-box query and output access; no direct memory access</x:v>
      </x:c>
      <x:c r="F5" s="14" t="str">
        <x:v>Episodic / demonstration memory</x:v>
      </x:c>
      <x:c r="G5" s="14" t="str">
        <x:v>Write / Retrieve</x:v>
      </x:c>
      <x:c r="H5" s="14" t="str">
        <x:v>Victim-term / query-conditioned</x:v>
      </x:c>
      <x:c r="I5" s="14" t="str">
        <x:v>Persistent harmful reasoning or action</x:v>
      </x:c>
      <x:c r="J5" s="14" t="str">
        <x:v>Cross-session</x:v>
      </x:c>
      <x:c r="K5" s="14" t="str">
        <x:v>Injection queries, generated demonstrations, retrieval records, harmful reasoning steps</x:v>
      </x:c>
      <x:c r="L5" s="14" t="str">
        <x:v>Complete source-to-action lineage usually unavailable; provenance and write-approval evidence often absent.</x:v>
      </x:c>
      <x:c r="M5" s="14" t="str">
        <x:v>Partial</x:v>
      </x:c>
      <x:c r="N5" s="14" t="str">
        <x:v>High</x:v>
      </x:c>
      <x:c r="O5" s="14" t="str">
        <x:v>Demonstrates durable malicious writes through normal agent interaction; verify per-agent ASR from paper tables.</x:v>
      </x:c>
      <x:c r="P5" s="14" t="str">
        <x:v>Attack entry channels; query-only injection</x:v>
      </x:c>
      <x:c r="Q5" s="14" t="str">
        <x:v>Verify exact table values where noted</x:v>
      </x:c>
    </x:row>
    <x:row r="6">
      <x:c r="A6" s="14" t="n">
        <x:v>12</x:v>
      </x:c>
      <x:c r="B6" s="14" t="str">
        <x:v>Unveiling Privacy Risks in LLM Agent Memory</x:v>
      </x:c>
      <x:c r="C6" s="14" t="str">
        <x:v>Attack / privacy extraction</x:v>
      </x:c>
      <x:c r="D6" s="14" t="str">
        <x:v>Memory record injection / poisoning</x:v>
      </x:c>
      <x:c r="E6" s="14" t="str">
        <x:v>External black-box querying with varying knowledge levels</x:v>
      </x:c>
      <x:c r="F6" s="14" t="str">
        <x:v>Historical user–agent interaction memory</x:v>
      </x:c>
      <x:c r="G6" s="14" t="str">
        <x:v>Retrieve / Execute</x:v>
      </x:c>
      <x:c r="H6" s="14" t="str">
        <x:v>Repeated elicitation</x:v>
      </x:c>
      <x:c r="I6" s="14" t="str">
        <x:v>Privacy disclosure / exfiltration</x:v>
      </x:c>
      <x:c r="J6" s="14" t="str">
        <x:v>Cross-session</x:v>
      </x:c>
      <x:c r="K6" s="14" t="str">
        <x:v>Attack prompts, retrieved private records, generated disclosures</x:v>
      </x:c>
      <x:c r="L6" s="14" t="str">
        <x:v>Complete source-to-action lineage usually unavailable; provenance and write-approval evidence often absent.</x:v>
      </x:c>
      <x:c r="M6" s="14" t="str">
        <x:v>No</x:v>
      </x:c>
      <x:c r="N6" s="14" t="str">
        <x:v>High</x:v>
      </x:c>
      <x:c r="O6" s="14" t="str">
        <x:v>Shows private long-term-memory records can be extracted; leakage varies with memory and attacker knowledge.</x:v>
      </x:c>
      <x:c r="P6" s="14" t="str">
        <x:v>Confidentiality and privacy extraction</x:v>
      </x:c>
      <x:c r="Q6" s="14" t="str">
        <x:v>Verify exact table values where noted</x:v>
      </x:c>
    </x:row>
    <x:row r="7">
      <x:c r="A7" s="14" t="n">
        <x:v>13</x:v>
      </x:c>
      <x:c r="B7" s="14" t="str">
        <x:v>Poison Once, Exploit Forever: Environment-Injected Memory Poisoning Attacks on Web Agents</x:v>
      </x:c>
      <x:c r="C7" s="14" t="str">
        <x:v>Attack / web-agent memory</x:v>
      </x:c>
      <x:c r="D7" s="14" t="str">
        <x:v>External content / environment</x:v>
      </x:c>
      <x:c r="E7" s="14" t="str">
        <x:v>Controls webpage content only; no memory access</x:v>
      </x:c>
      <x:c r="F7" s="14" t="str">
        <x:v>Trajectory memory: raw and consolidated</x:v>
      </x:c>
      <x:c r="G7" s="14" t="str">
        <x:v>Acquire / Write / Retrieve</x:v>
      </x:c>
      <x:c r="H7" s="14" t="str">
        <x:v>Cross-session and cross-site</x:v>
      </x:c>
      <x:c r="I7" s="14" t="str">
        <x:v>Persistent harmful reasoning or action</x:v>
      </x:c>
      <x:c r="J7" s="14" t="str">
        <x:v>Cross-session</x:v>
      </x:c>
      <x:c r="K7" s="14" t="str">
        <x:v>Contaminated observations, stored trajectories, retrievals, future web actions</x:v>
      </x:c>
      <x:c r="L7" s="14" t="str">
        <x:v>Complete source-to-action lineage usually unavailable; provenance and write-approval evidence often absent.</x:v>
      </x:c>
      <x:c r="M7" s="14" t="str">
        <x:v>Partial</x:v>
      </x:c>
      <x:c r="N7" s="14" t="str">
        <x:v>High</x:v>
      </x:c>
      <x:c r="O7" s="14" t="str">
        <x:v>ASR up to 32.5% (GPT-5-mini), 23.4% (GPT-5.2), 19.5% (GPT-OSS-120B); stress can raise ASR up to 8×.</x:v>
      </x:c>
      <x:c r="P7" s="14" t="str">
        <x:v>Indirect environmental write channels; web-agent attacks</x:v>
      </x:c>
      <x:c r="Q7" s="14" t="str">
        <x:v>Verify exact table values where noted</x:v>
      </x:c>
    </x:row>
    <x:row r="8">
      <x:c r="A8" s="14" t="n">
        <x:v>14</x:v>
      </x:c>
      <x:c r="B8" s="14" t="str">
        <x:v>InjecMEM: Memory Injection Attack on LLM Agent Memory Systems</x:v>
      </x:c>
      <x:c r="C8" s="14" t="str">
        <x:v>Attack / memory injection</x:v>
      </x:c>
      <x:c r="D8" s="14" t="str">
        <x:v>Memory record injection / poisoning</x:v>
      </x:c>
      <x:c r="E8" s="14" t="str">
        <x:v>One interaction; optional compromised-tool write path</x:v>
      </x:c>
      <x:c r="F8" s="14" t="str">
        <x:v>Layered long-term memory (MemoryOS)</x:v>
      </x:c>
      <x:c r="G8" s="14" t="str">
        <x:v>Write / Retrieve</x:v>
      </x:c>
      <x:c r="H8" s="14" t="str">
        <x:v>Topic-conditioned targeted generation</x:v>
      </x:c>
      <x:c r="I8" s="14" t="str">
        <x:v>Persistent harmful reasoning or action</x:v>
      </x:c>
      <x:c r="J8" s="14" t="str">
        <x:v>Cross-session</x:v>
      </x:c>
      <x:c r="K8" s="14" t="str">
        <x:v>Injected record, anchor cues, retrieval events, target outputs</x:v>
      </x:c>
      <x:c r="L8" s="14" t="str">
        <x:v>Complete source-to-action lineage usually unavailable; provenance and write-approval evidence often absent.</x:v>
      </x:c>
      <x:c r="M8" s="14" t="str">
        <x:v>Partial</x:v>
      </x:c>
      <x:c r="N8" s="14" t="str">
        <x:v>High</x:v>
      </x:c>
      <x:c r="O8" s="14" t="str">
        <x:v>Corpus notes report up to 76.6% ASR; verify exact retrieval and persistence values from final tables.</x:v>
      </x:c>
      <x:c r="P8" s="14" t="str">
        <x:v>Memory-system-specific injection attacks</x:v>
      </x:c>
      <x:c r="Q8" s="14" t="str">
        <x:v>Verify exact table values where noted</x:v>
      </x:c>
    </x:row>
    <x:row r="9">
      <x:c r="A9" s="14" t="n">
        <x:v>15</x:v>
      </x:c>
      <x:c r="B9" s="14" t="str">
        <x:v>MemoryGraft: Persistent Compromise of LLM Agents via Poisoned Experience Retrieval</x:v>
      </x:c>
      <x:c r="C9" s="14" t="str">
        <x:v>Attack / experience memory</x:v>
      </x:c>
      <x:c r="D9" s="14" t="str">
        <x:v>Memory record injection / poisoning</x:v>
      </x:c>
      <x:c r="E9" s="14" t="str">
        <x:v>Indirect ingestion-level artefacts</x:v>
      </x:c>
      <x:c r="F9" s="14" t="str">
        <x:v>Experience / procedural memory in RAG store</x:v>
      </x:c>
      <x:c r="G9" s="14" t="str">
        <x:v>Write / Retrieve / Execute</x:v>
      </x:c>
      <x:c r="H9" s="14" t="str">
        <x:v>Semantically similar future tasks; trigger-free</x:v>
      </x:c>
      <x:c r="I9" s="14" t="str">
        <x:v>Persistent harmful reasoning or action</x:v>
      </x:c>
      <x:c r="J9" s="14" t="str">
        <x:v>Cross-session</x:v>
      </x:c>
      <x:c r="K9" s="14" t="str">
        <x:v>Poisoned experience templates, retrieved examples, adopted unsafe procedures</x:v>
      </x:c>
      <x:c r="L9" s="14" t="str">
        <x:v>Complete source-to-action lineage usually unavailable; provenance and write-approval evidence often absent.</x:v>
      </x:c>
      <x:c r="M9" s="14" t="str">
        <x:v>Partial</x:v>
      </x:c>
      <x:c r="N9" s="14" t="str">
        <x:v>High</x:v>
      </x:c>
      <x:c r="O9" s="14" t="str">
        <x:v>Small poisoned sets dominate retrieved experiences and induce persistent behavioral drift; verify exact ratios.</x:v>
      </x:c>
      <x:c r="P9" s="14" t="str">
        <x:v>Experience and procedural-memory compromise</x:v>
      </x:c>
      <x:c r="Q9" s="14" t="str">
        <x:v>Verify exact table values where noted</x:v>
      </x:c>
    </x:row>
    <x:row r="10">
      <x:c r="A10" s="14" t="n">
        <x:v>16</x:v>
      </x:c>
      <x:c r="B10" s="14" t="str">
        <x:v>From Storage to Steering: Memory Control Flow Attacks on LLM Agents</x:v>
      </x:c>
      <x:c r="C10" s="14" t="str">
        <x:v>Attack / control flow</x:v>
      </x:c>
      <x:c r="D10" s="14" t="str">
        <x:v>Memory record injection / poisoning</x:v>
      </x:c>
      <x:c r="E10" s="14" t="str">
        <x:v>Malicious policy stored in memory</x:v>
      </x:c>
      <x:c r="F10" s="14" t="str">
        <x:v>Action-oriented policy memory</x:v>
      </x:c>
      <x:c r="G10" s="14" t="str">
        <x:v>Retrieve / Execute</x:v>
      </x:c>
      <x:c r="H10" s="14" t="str">
        <x:v>Cross-task persistent</x:v>
      </x:c>
      <x:c r="I10" s="14" t="str">
        <x:v>Tool selection or control-flow hijack</x:v>
      </x:c>
      <x:c r="J10" s="14" t="str">
        <x:v>Cross-session</x:v>
      </x:c>
      <x:c r="K10" s="14" t="str">
        <x:v>Memory reads, plans, tool-selection/order traces, system deviation</x:v>
      </x:c>
      <x:c r="L10" s="14" t="str">
        <x:v>Complete source-to-action lineage usually unavailable; provenance and write-approval evidence often absent.</x:v>
      </x:c>
      <x:c r="M10" s="14" t="str">
        <x:v>Partial</x:v>
      </x:c>
      <x:c r="N10" s="14" t="str">
        <x:v>High</x:v>
      </x:c>
      <x:c r="O10" s="14" t="str">
        <x:v>Tool-selection corruption 91.7–100%; tool-order corruption 52.8–69.4%; persistence 97.2–100%.</x:v>
      </x:c>
      <x:c r="P10" s="14" t="str">
        <x:v>Memory-to-action causal chain; tool control flow</x:v>
      </x:c>
      <x:c r="Q10" s="14" t="str">
        <x:v>Verify exact table values where noted</x:v>
      </x:c>
    </x:row>
    <x:row r="11">
      <x:c r="A11" s="14" t="n">
        <x:v>17</x:v>
      </x:c>
      <x:c r="B11" s="14" t="str">
        <x:v>Trojan Hippo: Weaponizing Agent Memory for Data Exfiltration</x:v>
      </x:c>
      <x:c r="C11" s="14" t="str">
        <x:v>Attack / exfiltration</x:v>
      </x:c>
      <x:c r="D11" s="14" t="str">
        <x:v>Single tool call / email</x:v>
      </x:c>
      <x:c r="E11" s="14" t="str">
        <x:v>Single untrusted tool call / crafted email</x:v>
      </x:c>
      <x:c r="F11" s="14" t="str">
        <x:v>Explicit, Mem0, RAG and context memory backends</x:v>
      </x:c>
      <x:c r="G11" s="14" t="str">
        <x:v>Write / Retrieve / Execute</x:v>
      </x:c>
      <x:c r="H11" s="14" t="str">
        <x:v>Sensitive-topic trigger after long dormancy</x:v>
      </x:c>
      <x:c r="I11" s="14" t="str">
        <x:v>Privacy disclosure / exfiltration</x:v>
      </x:c>
      <x:c r="J11" s="14" t="str">
        <x:v>Cross-session</x:v>
      </x:c>
      <x:c r="K11" s="14" t="str">
        <x:v>Email ingestion, memory entry, trigger session, send-email tool call, exfiltrated data</x:v>
      </x:c>
      <x:c r="L11" s="14" t="str">
        <x:v>Complete source-to-action lineage usually unavailable; provenance and write-approval evidence often absent.</x:v>
      </x:c>
      <x:c r="M11" s="14" t="str">
        <x:v>Partial</x:v>
      </x:c>
      <x:c r="N11" s="14" t="str">
        <x:v>Medium</x:v>
      </x:c>
      <x:c r="O11" s="14" t="str">
        <x:v>85–100% ASR on tested frontier models; activation after 100 benign sessions; defenses reduce ASR to 0–5% with utility costs.</x:v>
      </x:c>
      <x:c r="P11" s="14" t="str">
        <x:v>Delayed activation; privacy exfiltration; security–utility trade-off</x:v>
      </x:c>
      <x:c r="Q11" s="14" t="str">
        <x:v>Verify exact table values where noted</x:v>
      </x:c>
    </x:row>
    <x:row r="12">
      <x:c r="A12" s="14" t="n">
        <x:v>18</x:v>
      </x:c>
      <x:c r="B12" s="14" t="str">
        <x:v>Hidden in Memory: Sleeper Memory Poisoning in LLM Agents</x:v>
      </x:c>
      <x:c r="C12" s="14" t="str">
        <x:v>Attack / delayed activation</x:v>
      </x:c>
      <x:c r="D12" s="14" t="str">
        <x:v>External content / environment</x:v>
      </x:c>
      <x:c r="E12" s="14" t="str">
        <x:v>Controls external document, webpage, email or repository</x:v>
      </x:c>
      <x:c r="F12" s="14" t="str">
        <x:v>Persistent user-specific memory</x:v>
      </x:c>
      <x:c r="G12" s="14" t="str">
        <x:v>Acquire / Write / Retrieve / Execute</x:v>
      </x:c>
      <x:c r="H12" s="14" t="str">
        <x:v>Delayed across future conversations</x:v>
      </x:c>
      <x:c r="I12" s="14" t="str">
        <x:v>Persistent harmful reasoning or action</x:v>
      </x:c>
      <x:c r="J12" s="14" t="str">
        <x:v>Cross-session</x:v>
      </x:c>
      <x:c r="K12" s="14" t="str">
        <x:v>Tampered source, write decision, stored memory, later retrieval, downstream action</x:v>
      </x:c>
      <x:c r="L12" s="14" t="str">
        <x:v>Complete source-to-action lineage usually unavailable; provenance and write-approval evidence often absent.</x:v>
      </x:c>
      <x:c r="M12" s="14" t="str">
        <x:v>Partial</x:v>
      </x:c>
      <x:c r="N12" s="14" t="str">
        <x:v>Medium</x:v>
      </x:c>
      <x:c r="O12" s="14" t="str">
        <x:v>Memory write up to 99.8%; retrieved poisoned memories cause intended behavior in 60–89%; end-to-end 41.0–73.9%.</x:v>
      </x:c>
      <x:c r="P12" s="14" t="str">
        <x:v>Sleeper attacks; end-to-end evidence chain</x:v>
      </x:c>
      <x:c r="Q12" s="14" t="str">
        <x:v>Verify exact table values where noted</x:v>
      </x:c>
    </x:row>
    <x:row r="13">
      <x:c r="A13" s="14" t="n">
        <x:v>19</x:v>
      </x:c>
      <x:c r="B13" s="14" t="str">
        <x:v>From Untrusted Input to Trusted Memory: A Systematic Study of Memory Poisonin...</x:v>
      </x:c>
      <x:c r="C13" s="14" t="str">
        <x:v>Attack taxonomy / benchmark</x:v>
      </x:c>
      <x:c r="D13" s="14" t="str">
        <x:v>Memory record injection / poisoning</x:v>
      </x:c>
      <x:c r="E13" s="14" t="str">
        <x:v>Four write channels; multiple attacker capabilities</x:v>
      </x:c>
      <x:c r="F13" s="14" t="str">
        <x:v>Multiple agent-memory systems</x:v>
      </x:c>
      <x:c r="G13" s="14" t="str">
        <x:v>Write / Retrieve / Execute</x:v>
      </x:c>
      <x:c r="H13" s="14" t="str">
        <x:v>Six attack classes</x:v>
      </x:c>
      <x:c r="I13" s="14" t="str">
        <x:v>Persistent harmful reasoning or action</x:v>
      </x:c>
      <x:c r="J13" s="14" t="str">
        <x:v>Cross-session</x:v>
      </x:c>
      <x:c r="K13" s="14" t="str">
        <x:v>Write-channel logs, vulnerabilities, poisoned memories, retrieval and behavior metrics</x:v>
      </x:c>
      <x:c r="L13" s="14" t="str">
        <x:v>Complete source-to-action lineage usually unavailable; provenance and write-approval evidence often absent.</x:v>
      </x:c>
      <x:c r="M13" s="14" t="str">
        <x:v>Partial</x:v>
      </x:c>
      <x:c r="N13" s="14" t="str">
        <x:v>High</x:v>
      </x:c>
      <x:c r="O13" s="14" t="str">
        <x:v>Identifies 4 write channels, 9 structural vulnerabilities and 6 attack classes; corpus notes report ASR 50% and RSR 41%.</x:v>
      </x:c>
      <x:c r="P13" s="14" t="str">
        <x:v>Evidence-derived attack taxonomy and benchmark</x:v>
      </x:c>
      <x:c r="Q13" s="14" t="str">
        <x:v>Verify exact table values where noted</x:v>
      </x:c>
    </x:row>
    <x:row r="14">
      <x:c r="A14" s="14" t="n">
        <x:v>20</x:v>
      </x:c>
      <x:c r="B14" s="14" t="str">
        <x:v>MemMorph: Tool Hijacking in LLM Agents via Memory Poisoning</x:v>
      </x:c>
      <x:c r="C14" s="14" t="str">
        <x:v>Attack / tool selection</x:v>
      </x:c>
      <x:c r="D14" s="14" t="str">
        <x:v>Memory record injection / poisoning</x:v>
      </x:c>
      <x:c r="E14" s="14" t="str">
        <x:v>Injects a small number of memory records</x:v>
      </x:c>
      <x:c r="F14" s="14" t="str">
        <x:v>Long-term memory used for tool selection</x:v>
      </x:c>
      <x:c r="G14" s="14" t="str">
        <x:v>Write / Retrieve / Execute</x:v>
      </x:c>
      <x:c r="H14" s="14" t="str">
        <x:v>Context-dependent tool selection</x:v>
      </x:c>
      <x:c r="I14" s="14" t="str">
        <x:v>Tool selection or control-flow hijack</x:v>
      </x:c>
      <x:c r="J14" s="14" t="str">
        <x:v>Cross-session</x:v>
      </x:c>
      <x:c r="K14" s="14" t="str">
        <x:v>Poison records, retrieved guidance, tool-selection traces and actions</x:v>
      </x:c>
      <x:c r="L14" s="14" t="str">
        <x:v>Complete source-to-action lineage usually unavailable; provenance and write-approval evidence often absent.</x:v>
      </x:c>
      <x:c r="M14" s="14" t="str">
        <x:v>Partial</x:v>
      </x:c>
      <x:c r="N14" s="14" t="str">
        <x:v>High</x:v>
      </x:c>
      <x:c r="O14" s="14" t="str">
        <x:v>Up to 85.9% ASR with three records; up to 25% above strongest baseline; remains effective under three defenses.</x:v>
      </x:c>
      <x:c r="P14" s="14" t="str">
        <x:v>Tool hijacking and action authority</x:v>
      </x:c>
      <x:c r="Q14" s="14" t="str">
        <x:v>Verify exact table values where noted</x:v>
      </x:c>
    </x:row>
    <x:row r="15">
      <x:c r="A15" s="14" t="n">
        <x:v>21</x:v>
      </x:c>
      <x:c r="B15" s="14" t="str">
        <x:v>Zombie Agents: Persistent Control of Self-Evolving LLM Agents via Self-Reinfo...</x:v>
      </x:c>
      <x:c r="C15" s="14" t="str">
        <x:v>Attack / persistent control</x:v>
      </x:c>
      <x:c r="D15" s="14" t="str">
        <x:v>External content / environment</x:v>
      </x:c>
      <x:c r="E15" s="14" t="str">
        <x:v>Attacker-controlled web content only</x:v>
      </x:c>
      <x:c r="F15" s="14" t="str">
        <x:v>Self-evolving long-term memory</x:v>
      </x:c>
      <x:c r="G15" s="14" t="str">
        <x:v>Acquire / Write / Retrieve / Execute</x:v>
      </x:c>
      <x:c r="H15" s="14" t="str">
        <x:v>Infection phase followed by later trigger</x:v>
      </x:c>
      <x:c r="I15" s="14" t="str">
        <x:v>Persistent harmful reasoning or action</x:v>
      </x:c>
      <x:c r="J15" s="14" t="str">
        <x:v>Cross-session</x:v>
      </x:c>
      <x:c r="K15" s="14" t="str">
        <x:v>Poisoned source, memory update, trigger retrieval, unauthorized action</x:v>
      </x:c>
      <x:c r="L15" s="14" t="str">
        <x:v>Complete source-to-action lineage usually unavailable; provenance and write-approval evidence often absent.</x:v>
      </x:c>
      <x:c r="M15" s="14" t="str">
        <x:v>Partial</x:v>
      </x:c>
      <x:c r="N15" s="14" t="str">
        <x:v>Medium</x:v>
      </x:c>
      <x:c r="O15" s="14" t="str">
        <x:v>Shows one-time indirect injection can survive across sessions using memory-specific persistence strategies; verify exact ASR by setup.</x:v>
      </x:c>
      <x:c r="P15" s="14" t="str">
        <x:v>Persistent control and reactivation</x:v>
      </x:c>
      <x:c r="Q15" s="14" t="str">
        <x:v>Verify exact table values where noted</x:v>
      </x:c>
    </x:row>
    <x:row r="16">
      <x:c r="A16" s="14" t="n">
        <x:v>22</x:v>
      </x:c>
      <x:c r="B16" s="14" t="str">
        <x:v>No Attacker Needed: Unintentional Cross-User Contamination in Shared-State LL...</x:v>
      </x:c>
      <x:c r="C16" s="14" t="str">
        <x:v>Non-adversarial failure / shared state</x:v>
      </x:c>
      <x:c r="D16" s="14" t="str">
        <x:v>Memory record injection / poisoning</x:v>
      </x:c>
      <x:c r="E16" s="14" t="str">
        <x:v>No attacker; benign interactions and state leakage</x:v>
      </x:c>
      <x:c r="F16" s="14" t="str">
        <x:v>Shared multi-user agent state</x:v>
      </x:c>
      <x:c r="G16" s="14" t="str">
        <x:v>Write / Share / Retrieve</x:v>
      </x:c>
      <x:c r="H16" s="14" t="str">
        <x:v>Cross-user and later-session</x:v>
      </x:c>
      <x:c r="I16" s="14" t="str">
        <x:v>Cross-user contamination</x:v>
      </x:c>
      <x:c r="J16" s="14" t="str">
        <x:v>Cross-session</x:v>
      </x:c>
      <x:c r="K16" s="14" t="str">
        <x:v>User/state identifiers, writes, retrievals, wrong answers and residual state</x:v>
      </x:c>
      <x:c r="L16" s="14" t="str">
        <x:v>Complete source-to-action lineage usually unavailable; provenance and write-approval evidence often absent.</x:v>
      </x:c>
      <x:c r="M16" s="14" t="str">
        <x:v>Partial</x:v>
      </x:c>
      <x:c r="N16" s="14" t="str">
        <x:v>Medium</x:v>
      </x:c>
      <x:c r="O16" s="14" t="str">
        <x:v>Demonstrates silent harmful contamination without adversary; verify taxonomy and rates from full text.</x:v>
      </x:c>
      <x:c r="P16" s="14" t="str">
        <x:v>Non-adversarial incidents; shared-state blast radius</x:v>
      </x:c>
      <x:c r="Q16" s="14" t="str">
        <x:v>Verify exact table values where noted</x:v>
      </x:c>
    </x:row>
    <x:row r="17">
      <x:c r="A17" s="14" t="n">
        <x:v>24</x:v>
      </x:c>
      <x:c r="B17" s="14" t="str">
        <x:v>Visual Inception: Compromising Long-Term Planning in Agentic Recommenders via...</x:v>
      </x:c>
      <x:c r="C17" s="14" t="str">
        <x:v>Attack and defense / multimodal memory</x:v>
      </x:c>
      <x:c r="D17" s="14" t="str">
        <x:v>Shared/multimodal propagation</x:v>
      </x:c>
      <x:c r="E17" s="14" t="str">
        <x:v>Poisoned multimodal inputs</x:v>
      </x:c>
      <x:c r="F17" s="14" t="str">
        <x:v>Persistent multimodal recommendation memory</x:v>
      </x:c>
      <x:c r="G17" s="14" t="str">
        <x:v>Write / Retrieve / Execute</x:v>
      </x:c>
      <x:c r="H17" s="14" t="str">
        <x:v>Delayed future planning</x:v>
      </x:c>
      <x:c r="I17" s="14" t="str">
        <x:v>Persistent harmful reasoning or action</x:v>
      </x:c>
      <x:c r="J17" s="14" t="str">
        <x:v>Cross-session</x:v>
      </x:c>
      <x:c r="K17" s="14" t="str">
        <x:v>Multimodal memory, retrieval, recommendations/plans, counterfactual verification</x:v>
      </x:c>
      <x:c r="L17" s="14" t="str">
        <x:v>Complete source-to-action lineage usually unavailable; provenance and write-approval evidence often absent.</x:v>
      </x:c>
      <x:c r="M17" s="14" t="str">
        <x:v>Partial</x:v>
      </x:c>
      <x:c r="N17" s="14" t="str">
        <x:v>Medium</x:v>
      </x:c>
      <x:c r="O17" s="14" t="str">
        <x:v>Demonstrates delayed multimodal-memory influence and evaluates counterfactual reasoning as a defense; verify exact metrics.</x:v>
      </x:c>
      <x:c r="P17" s="14" t="str">
        <x:v>Multimodal memory and counterfactual investigation</x:v>
      </x:c>
      <x:c r="Q17" s="14" t="str">
        <x:v>Verify exact table values where noted</x:v>
      </x:c>
    </x:row>
    <x:row r="18">
      <x:c r="A18" s="14" t="n">
        <x:v>26</x:v>
      </x:c>
      <x:c r="B18" s="14" t="str">
        <x:v>Agent Smith: A Single Image Can Jailbreak One Million Multimodal LLM Agents E...</x:v>
      </x:c>
      <x:c r="C18" s="14" t="str">
        <x:v>Attack / multi-agent propagation</x:v>
      </x:c>
      <x:c r="D18" s="14" t="str">
        <x:v>Shared/multimodal propagation</x:v>
      </x:c>
      <x:c r="E18" s="14" t="str">
        <x:v>Malicious image introduced to one or more agents</x:v>
      </x:c>
      <x:c r="F18" s="14" t="str">
        <x:v>Shared multimodal memory bank</x:v>
      </x:c>
      <x:c r="G18" s="14" t="str">
        <x:v>Share / Propagate / Execute</x:v>
      </x:c>
      <x:c r="H18" s="14" t="str">
        <x:v>Exponential agent-to-agent spread</x:v>
      </x:c>
      <x:c r="I18" s="14" t="str">
        <x:v>Multi-agent propagation</x:v>
      </x:c>
      <x:c r="J18" s="14" t="str">
        <x:v>Cross-agent / ecosystem</x:v>
      </x:c>
      <x:c r="K18" s="14" t="str">
        <x:v>Image payload, memory-bank copies, inter-agent propagation and harmful outputs</x:v>
      </x:c>
      <x:c r="L18" s="14" t="str">
        <x:v>Complete source-to-action lineage usually unavailable; provenance and write-approval evidence often absent.</x:v>
      </x:c>
      <x:c r="M18" s="14" t="str">
        <x:v>Partial</x:v>
      </x:c>
      <x:c r="N18" s="14" t="str">
        <x:v>High</x:v>
      </x:c>
      <x:c r="O18" s="14" t="str">
        <x:v>Shows exponential propagation across a very large multi-agent population; extract exact spread and success figures.</x:v>
      </x:c>
      <x:c r="P18" s="14" t="str">
        <x:v>Propagation, contagion and blast-radius analysis</x:v>
      </x:c>
      <x:c r="Q18" s="14" t="str">
        <x:v>Verify exact table values where noted</x:v>
      </x:c>
    </x:row>
    <x:row r="19">
      <x:c r="A19" s="14" t="n">
        <x:v>29</x:v>
      </x:c>
      <x:c r="B19" s="14" t="str">
        <x:v>What If Prompt Injection Never Left? Exploring Cross-Session Stored Prompt In...</x:v>
      </x:c>
      <x:c r="C19" s="14" t="str">
        <x:v>Attack / cross-session persistence</x:v>
      </x:c>
      <x:c r="D19" s="14" t="str">
        <x:v>Persistent state write</x:v>
      </x:c>
      <x:c r="E19" s="14" t="str">
        <x:v>Writes malicious state through normal system interactions</x:v>
      </x:c>
      <x:c r="F19" s="14" t="str">
        <x:v>Persistent state including memory, files, tools and skills</x:v>
      </x:c>
      <x:c r="G19" s="14" t="str">
        <x:v>Write / Store / Retrieve</x:v>
      </x:c>
      <x:c r="H19" s="14" t="str">
        <x:v>Later session / state retrieval</x:v>
      </x:c>
      <x:c r="I19" s="14" t="str">
        <x:v>Persistent harmful reasoning or action</x:v>
      </x:c>
      <x:c r="J19" s="14" t="str">
        <x:v>Cross-session</x:v>
      </x:c>
      <x:c r="K19" s="14" t="str">
        <x:v>Persistent-state object, later retrieval, downstream agent execution</x:v>
      </x:c>
      <x:c r="L19" s="14" t="str">
        <x:v>Complete source-to-action lineage usually unavailable; provenance and write-approval evidence often absent.</x:v>
      </x:c>
      <x:c r="M19" s="14" t="str">
        <x:v>Partial</x:v>
      </x:c>
      <x:c r="N19" s="14" t="str">
        <x:v>Medium</x:v>
      </x:c>
      <x:c r="O19" s="14" t="str">
        <x:v>Provides taxonomy and evaluation of stored prompt injection across persistent channels; verify benchmark counts and ASR.</x:v>
      </x:c>
      <x:c r="P19" s="14" t="str">
        <x:v>Scope boundary: persistent memory and adjacent durable state</x:v>
      </x:c>
      <x:c r="Q19" s="14" t="str">
        <x:v>Verify exact table values where noted</x:v>
      </x:c>
    </x:row>
    <x:row r="20">
      <x:c r="A20" s="14" t="n">
        <x:v>30</x:v>
      </x:c>
      <x:c r="B20" s="14" t="str">
        <x:v>ER-MIA: Black-Box Adversarial Memory Injection Attacks on Long-Term Memory-Au...</x:v>
      </x:c>
      <x:c r="C20" s="14" t="str">
        <x:v>Attack / memory injection</x:v>
      </x:c>
      <x:c r="D20" s="14" t="str">
        <x:v>Query-only interaction</x:v>
      </x:c>
      <x:c r="E20" s="14" t="str">
        <x:v>Black-box interaction</x:v>
      </x:c>
      <x:c r="F20" s="14" t="str">
        <x:v>Dynamic long-term retrieval memory</x:v>
      </x:c>
      <x:c r="G20" s="14" t="str">
        <x:v>Write / Retrieve</x:v>
      </x:c>
      <x:c r="H20" s="14" t="str">
        <x:v>Query-conditioned retrieval</x:v>
      </x:c>
      <x:c r="I20" s="14" t="str">
        <x:v>Persistent harmful reasoning or action</x:v>
      </x:c>
      <x:c r="J20" s="14" t="str">
        <x:v>Cross-session</x:v>
      </x:c>
      <x:c r="K20" s="14" t="str">
        <x:v>Injection interactions, embeddings/retrieval, degraded reasoning outputs</x:v>
      </x:c>
      <x:c r="L20" s="14" t="str">
        <x:v>Complete source-to-action lineage usually unavailable; provenance and write-approval evidence often absent.</x:v>
      </x:c>
      <x:c r="M20" s="14" t="str">
        <x:v>Partial</x:v>
      </x:c>
      <x:c r="N20" s="14" t="str">
        <x:v>High</x:v>
      </x:c>
      <x:c r="O20" s="14" t="str">
        <x:v>Shows persistent reasoning degradation through dynamic retrieval; verify exact model/task metrics.</x:v>
      </x:c>
      <x:c r="P20" s="14" t="str">
        <x:v>Black-box injection and retrieval manipulation</x:v>
      </x:c>
      <x:c r="Q20" s="14" t="str">
        <x:v>Verify exact table values where noted</x:v>
      </x:c>
    </x:row>
    <x:row r="21">
      <x:c r="A21" s="14" t="n">
        <x:v>31</x:v>
      </x:c>
      <x:c r="B21" s="14" t="str">
        <x:v>Hijacking Agent Memory: Stealthy Trojan Attacks Through Conversational Intera...</x:v>
      </x:c>
      <x:c r="C21" s="14" t="str">
        <x:v>Attack / poisoning</x:v>
      </x:c>
      <x:c r="D21" s="14" t="str">
        <x:v>Query-only interaction</x:v>
      </x:c>
      <x:c r="E21" s="14" t="str">
        <x:v>Black-box conversational interaction</x:v>
      </x:c>
      <x:c r="F21" s="14" t="str">
        <x:v>Selective long-term conversational memory</x:v>
      </x:c>
      <x:c r="G21" s="14" t="str">
        <x:v>Write / Transform / Retrieve</x:v>
      </x:c>
      <x:c r="H21" s="14" t="str">
        <x:v>Targeted later queries</x:v>
      </x:c>
      <x:c r="I21" s="14" t="str">
        <x:v>Persistent harmful reasoning or action</x:v>
      </x:c>
      <x:c r="J21" s="14" t="str">
        <x:v>Cross-session</x:v>
      </x:c>
      <x:c r="K21" s="14" t="str">
        <x:v>Dialogue, extracted/rewritten memory, retrieval event, target output</x:v>
      </x:c>
      <x:c r="L21" s="14" t="str">
        <x:v>Complete source-to-action lineage usually unavailable; provenance and write-approval evidence often absent.</x:v>
      </x:c>
      <x:c r="M21" s="14" t="str">
        <x:v>Partial</x:v>
      </x:c>
      <x:c r="N21" s="14" t="str">
        <x:v>High</x:v>
      </x:c>
      <x:c r="O21" s="14" t="str">
        <x:v>Corpus notes report ASR up to 0.95 while bypassing selective-memory pipelines; verify exact setups and stealth measures.</x:v>
      </x:c>
      <x:c r="P21" s="14" t="str">
        <x:v>Stealth and transformation-resistant poisoning</x:v>
      </x:c>
      <x:c r="Q21" s="14" t="str">
        <x:v>Verify exact table values where noted</x:v>
      </x:c>
    </x:row>
    <x:row r="22">
      <x:c r="A22" s="14" t="n">
        <x:v>32</x:v>
      </x:c>
      <x:c r="B22" s="14" t="str">
        <x:v>ShadowMerge: A Novel Poisoning Attack on Graph-Based Agent Memory via Relatio...</x:v>
      </x:c>
      <x:c r="C22" s="14" t="str">
        <x:v>Attack / graph memory</x:v>
      </x:c>
      <x:c r="D22" s="14" t="str">
        <x:v>Memory record injection / poisoning</x:v>
      </x:c>
      <x:c r="E22" s="14" t="str">
        <x:v>Injects adversarial graph-memory content</x:v>
      </x:c>
      <x:c r="F22" s="14" t="str">
        <x:v>Graph-based agent memory (Mem0 graph)</x:v>
      </x:c>
      <x:c r="G22" s="14" t="str">
        <x:v>Write / Transform / Retrieve</x:v>
      </x:c>
      <x:c r="H22" s="14" t="str">
        <x:v>Multi-hop relation retrieval</x:v>
      </x:c>
      <x:c r="I22" s="14" t="str">
        <x:v>Persistent harmful reasoning or action</x:v>
      </x:c>
      <x:c r="J22" s="14" t="str">
        <x:v>Cross-session</x:v>
      </x:c>
      <x:c r="K22" s="14" t="str">
        <x:v>Graph nodes/edges, merge operations, retrieval paths and outputs</x:v>
      </x:c>
      <x:c r="L22" s="14" t="str">
        <x:v>Complete source-to-action lineage usually unavailable; provenance and write-approval evidence often absent.</x:v>
      </x:c>
      <x:c r="M22" s="14" t="str">
        <x:v>Partial</x:v>
      </x:c>
      <x:c r="N22" s="14" t="str">
        <x:v>High</x:v>
      </x:c>
      <x:c r="O22" s="14" t="str">
        <x:v>Demonstrates graph-specific poisoning through relation conflicts; verify attack rates and graph-structure metrics.</x:v>
      </x:c>
      <x:c r="P22" s="14" t="str">
        <x:v>Graph memory, lineage and relation-level contamination</x:v>
      </x:c>
      <x:c r="Q22" s="14" t="str">
        <x:v>Verify exact table values where noted</x:v>
      </x:c>
    </x:row>
    <x:row r="23">
      <x:c r="A23" s="14" t="n">
        <x:v>33</x:v>
      </x:c>
      <x:c r="B23" s="14" t="str">
        <x:v>MRMMIA: Membership Inference Attacks on Memory in Chat Agents</x:v>
      </x:c>
      <x:c r="C23" s="14" t="str">
        <x:v>Attack / privacy</x:v>
      </x:c>
      <x:c r="D23" s="14" t="str">
        <x:v>Memory record injection / poisoning</x:v>
      </x:c>
      <x:c r="E23" s="14" t="str">
        <x:v>Black-, gray- and white-box settings</x:v>
      </x:c>
      <x:c r="F23" s="14" t="str">
        <x:v>Chat-agent long-term memory</x:v>
      </x:c>
      <x:c r="G23" s="14" t="str">
        <x:v>Retrieve</x:v>
      </x:c>
      <x:c r="H23" s="14" t="str">
        <x:v>Repeated membership queries</x:v>
      </x:c>
      <x:c r="I23" s="14" t="str">
        <x:v>Privacy disclosure / exfiltration</x:v>
      </x:c>
      <x:c r="J23" s="14" t="str">
        <x:v>Cross-session</x:v>
      </x:c>
      <x:c r="K23" s="14" t="str">
        <x:v>Queries, confidence/output signals, inferred membership labels</x:v>
      </x:c>
      <x:c r="L23" s="14" t="str">
        <x:v>Complete source-to-action lineage usually unavailable; provenance and write-approval evidence often absent.</x:v>
      </x:c>
      <x:c r="M23" s="14" t="str">
        <x:v>No</x:v>
      </x:c>
      <x:c r="N23" s="14" t="str">
        <x:v>High</x:v>
      </x:c>
      <x:c r="O23" s="14" t="str">
        <x:v>Establishes membership leakage from agent memory across attacker-knowledge settings; verify AUC/accuracy values.</x:v>
      </x:c>
      <x:c r="P23" s="14" t="str">
        <x:v>Privacy: membership inference</x:v>
      </x:c>
      <x:c r="Q23" s="14" t="str">
        <x:v>Verify exact table values where noted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a9335632fe7d40c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22" hidden="0" customWidth="1"/>
    <x:col min="4" max="4" width="20" hidden="0" customWidth="1"/>
    <x:col min="5" max="5" width="24" hidden="0" customWidth="1"/>
    <x:col min="6" max="6" width="36" hidden="0" customWidth="1"/>
    <x:col min="7" max="7" width="30" hidden="0" customWidth="1"/>
    <x:col min="8" max="8" width="12" hidden="0" customWidth="1"/>
    <x:col min="9" max="9" width="12" hidden="0" customWidth="1"/>
    <x:col min="10" max="10" width="18" hidden="0" customWidth="1"/>
    <x:col min="11" max="11" width="12" hidden="0" customWidth="1"/>
    <x:col min="12" max="12" width="12" hidden="0" customWidth="1"/>
    <x:col min="13" max="13" width="16" hidden="0" customWidth="1"/>
    <x:col min="14" max="14" width="14" hidden="0" customWidth="1"/>
    <x:col min="15" max="15" width="16" hidden="0" customWidth="1"/>
    <x:col min="16" max="16" width="38" hidden="0" customWidth="1"/>
    <x:col min="17" max="17" width="38" hidden="0" customWidth="1"/>
    <x:col min="18" max="18" width="30" hidden="0" customWidth="1"/>
  </x:cols>
  <x:sheetData>
    <x:row r="1">
      <x:c r="A1" s="4" t="str">
        <x:v>Defence, Provenance, Governance and Recovery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3">
      <x:c r="A3" s="20" t="str">
        <x:v>ID</x:v>
      </x:c>
      <x:c r="B3" s="20" t="str">
        <x:v>Study</x:v>
      </x:c>
      <x:c r="C3" s="20" t="str">
        <x:v>Type</x:v>
      </x:c>
      <x:c r="D3" s="20" t="str">
        <x:v>Protected lifecycle stage</x:v>
      </x:c>
      <x:c r="E3" s="20" t="str">
        <x:v>Threat addressed</x:v>
      </x:c>
      <x:c r="F3" s="20" t="str">
        <x:v>Core method</x:v>
      </x:c>
      <x:c r="G3" s="20" t="str">
        <x:v>Trust assumptions</x:v>
      </x:c>
      <x:c r="H3" s="20" t="str">
        <x:v>Prevention</x:v>
      </x:c>
      <x:c r="I3" s="20" t="str">
        <x:v>Detection</x:v>
      </x:c>
      <x:c r="J3" s="20" t="str">
        <x:v>Evidence preservation</x:v>
      </x:c>
      <x:c r="K3" s="20" t="str">
        <x:v>Provenance</x:v>
      </x:c>
      <x:c r="L3" s="20" t="str">
        <x:v>Attribution</x:v>
      </x:c>
      <x:c r="M3" s="20" t="str">
        <x:v>Causal reconstruction</x:v>
      </x:c>
      <x:c r="N3" s="20" t="str">
        <x:v>Blast radius</x:v>
      </x:c>
      <x:c r="O3" s="20" t="str">
        <x:v>Rollback / recovery</x:v>
      </x:c>
      <x:c r="P3" s="20" t="str">
        <x:v>Key reported result</x:v>
      </x:c>
      <x:c r="Q3" s="20" t="str">
        <x:v>Main limitation / verification</x:v>
      </x:c>
      <x:c r="R3" s="20" t="str">
        <x:v>Manuscript role</x:v>
      </x:c>
    </x:row>
    <x:row r="4">
      <x:c r="A4" s="14" t="n">
        <x:v>34</x:v>
      </x:c>
      <x:c r="B4" s="14" t="str">
        <x:v>VerificAgent: Domain-Specific Memory Verification for Scalable Oversight of A...</x:v>
      </x:c>
      <x:c r="C4" s="14" t="str">
        <x:v>Defense / verification</x:v>
      </x:c>
      <x:c r="D4" s="14" t="str">
        <x:v>Write / Validate / Store</x:v>
      </x:c>
      <x:c r="E4" s="14" t="str">
        <x:v>Human-verified memory freezing and safety contract</x:v>
      </x:c>
      <x:c r="F4" s="14" t="str">
        <x:v>Human-verified memory freezing and safety contract</x:v>
      </x:c>
      <x:c r="G4" s="14" t="str">
        <x:v>Trusted expert seeds and human fact checking</x:v>
      </x:c>
      <x:c r="H4" s="14" t="str">
        <x:v>Yes</x:v>
      </x:c>
      <x:c r="I4" s="14" t="str">
        <x:v>Partial</x:v>
      </x:c>
      <x:c r="J4" s="14" t="str">
        <x:v>Moderate</x:v>
      </x:c>
      <x:c r="K4" s="14" t="str">
        <x:v>Partial</x:v>
      </x:c>
      <x:c r="L4" s="14" t="str">
        <x:v>Partial</x:v>
      </x:c>
      <x:c r="M4" s="14" t="str">
        <x:v>Partial</x:v>
      </x:c>
      <x:c r="N4" s="14" t="str">
        <x:v>No</x:v>
      </x:c>
      <x:c r="O4" s="14" t="str">
        <x:v>Partial</x:v>
      </x:c>
      <x:c r="P4" s="14" t="str">
        <x:v>Demonstrates scalable oversight through frozen verified memory; verify safety/utility and reviewer-effort metrics.</x:v>
      </x:c>
      <x:c r="Q4" s="14" t="str">
        <x:v>Verify exact quantitative results, overhead and boundary conditions from full tables.</x:v>
      </x:c>
      <x:c r="R4" s="14" t="str">
        <x:v>Write-time verification and human oversight</x:v>
      </x:c>
    </x:row>
    <x:row r="5">
      <x:c r="A5" s="14" t="n">
        <x:v>35</x:v>
      </x:c>
      <x:c r="B5" s="14" t="str">
        <x:v>PROV-AGENT: Unified Provenance for Tracking AI Agent Interactions in Agentic ...</x:v>
      </x:c>
      <x:c r="C5" s="14" t="str">
        <x:v>Provenance / system</x:v>
      </x:c>
      <x:c r="D5" s="14" t="str">
        <x:v>All lifecycle phases</x:v>
      </x:c>
      <x:c r="E5" s="14" t="str">
        <x:v>W3C-PROV extension for prompts, tools, memory and actions</x:v>
      </x:c>
      <x:c r="F5" s="14" t="str">
        <x:v>W3C-PROV extension for prompts, tools, memory and actions</x:v>
      </x:c>
      <x:c r="G5" s="14" t="str">
        <x:v>Trusted instrumentation</x:v>
      </x:c>
      <x:c r="H5" s="14" t="str">
        <x:v>Partial</x:v>
      </x:c>
      <x:c r="I5" s="14" t="str">
        <x:v>Partial</x:v>
      </x:c>
      <x:c r="J5" s="14" t="str">
        <x:v>Strong</x:v>
      </x:c>
      <x:c r="K5" s="14" t="str">
        <x:v>Yes</x:v>
      </x:c>
      <x:c r="L5" s="14" t="str">
        <x:v>Yes</x:v>
      </x:c>
      <x:c r="M5" s="14" t="str">
        <x:v>Partial</x:v>
      </x:c>
      <x:c r="N5" s="14" t="str">
        <x:v>Partial</x:v>
      </x:c>
      <x:c r="O5" s="14" t="str">
        <x:v>Partial</x:v>
      </x:c>
      <x:c r="P5" s="14" t="str">
        <x:v>Provides near-real-time provenance capture for agent workflows; extract overhead and case-study evidence.</x:v>
      </x:c>
      <x:c r="Q5" s="14" t="str">
        <x:v>System / framework evidence; not a broad independent security evaluation.</x:v>
      </x:c>
      <x:c r="R5" s="14" t="str">
        <x:v>Provenance foundation and evidence schema</x:v>
      </x:c>
    </x:row>
    <x:row r="6">
      <x:c r="A6" s="14" t="n">
        <x:v>36</x:v>
      </x:c>
      <x:c r="B6" s="14" t="str">
        <x:v>MemOS: A Memory OS for AI System</x:v>
      </x:c>
      <x:c r="C6" s="14" t="str">
        <x:v>Provenance / system</x:v>
      </x:c>
      <x:c r="D6" s="14" t="str">
        <x:v>Store / Update / Snapshot / Rollback</x:v>
      </x:c>
      <x:c r="E6" s="14" t="str">
        <x:v>Memory OS with source, version, sensitivity and lifecycle metadata</x:v>
      </x:c>
      <x:c r="F6" s="14" t="str">
        <x:v>Memory OS with source, version, sensitivity and lifecycle metadata</x:v>
      </x:c>
      <x:c r="G6" s="14" t="str">
        <x:v>System architecture</x:v>
      </x:c>
      <x:c r="H6" s="14" t="str">
        <x:v>Partial</x:v>
      </x:c>
      <x:c r="I6" s="14" t="str">
        <x:v>Partial</x:v>
      </x:c>
      <x:c r="J6" s="14" t="str">
        <x:v>Strong</x:v>
      </x:c>
      <x:c r="K6" s="14" t="str">
        <x:v>Yes</x:v>
      </x:c>
      <x:c r="L6" s="14" t="str">
        <x:v>Partial</x:v>
      </x:c>
      <x:c r="M6" s="14" t="str">
        <x:v>No</x:v>
      </x:c>
      <x:c r="N6" s="14" t="str">
        <x:v>Partial</x:v>
      </x:c>
      <x:c r="O6" s="14" t="str">
        <x:v>Yes</x:v>
      </x:c>
      <x:c r="P6" s="14" t="str">
        <x:v>Systems substrate rather than attack evaluation; documents snapshot, version and rollback capabilities.</x:v>
      </x:c>
      <x:c r="Q6" s="14" t="str">
        <x:v>System / framework evidence; not a broad independent security evaluation.</x:v>
      </x:c>
      <x:c r="R6" s="14" t="str">
        <x:v>Forensic-ready memory architecture</x:v>
      </x:c>
    </x:row>
    <x:row r="7">
      <x:c r="A7" s="14" t="n">
        <x:v>37</x:v>
      </x:c>
      <x:c r="B7" s="14" t="str">
        <x:v>MemLineage: Lineage-Guided Enforcement for LLM Agent Memory</x:v>
      </x:c>
      <x:c r="C7" s="14" t="str">
        <x:v>Defense / provenance</x:v>
      </x:c>
      <x:c r="D7" s="14" t="str">
        <x:v>Write / Store / Retrieve / Execute / Recover</x:v>
      </x:c>
      <x:c r="E7" s="14" t="str">
        <x:v>Signed entries, Merkle log, derivation DAG and policy gating</x:v>
      </x:c>
      <x:c r="F7" s="14" t="str">
        <x:v>Signed entries, Merkle log, derivation DAG and policy gating</x:v>
      </x:c>
      <x:c r="G7" s="14" t="str">
        <x:v>Trusted signing / policy infrastructure</x:v>
      </x:c>
      <x:c r="H7" s="14" t="str">
        <x:v>Yes</x:v>
      </x:c>
      <x:c r="I7" s="14" t="str">
        <x:v>Partial</x:v>
      </x:c>
      <x:c r="J7" s="14" t="str">
        <x:v>Strong</x:v>
      </x:c>
      <x:c r="K7" s="14" t="str">
        <x:v>Yes</x:v>
      </x:c>
      <x:c r="L7" s="14" t="str">
        <x:v>Yes</x:v>
      </x:c>
      <x:c r="M7" s="14" t="str">
        <x:v>Partial</x:v>
      </x:c>
      <x:c r="N7" s="14" t="str">
        <x:v>Yes</x:v>
      </x:c>
      <x:c r="O7" s="14" t="str">
        <x:v>Yes</x:v>
      </x:c>
      <x:c r="P7" s="14" t="str">
        <x:v>Provides chain-of-custody and lineage-guided enforcement; verify evaluation scale and overhead.</x:v>
      </x:c>
      <x:c r="Q7" s="14" t="str">
        <x:v>Verify exact quantitative results, overhead and boundary conditions from full tables.</x:v>
      </x:c>
      <x:c r="R7" s="14" t="str">
        <x:v>Tamper-evident provenance and dependency-aware revocation</x:v>
      </x:c>
    </x:row>
    <x:row r="8">
      <x:c r="A8" s="14" t="n">
        <x:v>38</x:v>
      </x:c>
      <x:c r="B8" s="14" t="str">
        <x:v>Securing LLM-Agent Long-Term Memory Against Poisoning: Non-Malleable, Origin-Bound Authority with Machine-Checked Guarantees</x:v>
      </x:c>
      <x:c r="C8" s="14" t="str">
        <x:v>Defense / formal authority</x:v>
      </x:c>
      <x:c r="D8" s="14" t="str">
        <x:v>Write / Transform / Execute</x:v>
      </x:c>
      <x:c r="E8" s="14" t="str">
        <x:v>Non-malleable origin-bound authority with formal guarantees</x:v>
      </x:c>
      <x:c r="F8" s="14" t="str">
        <x:v>Non-malleable origin-bound authority with formal guarantees</x:v>
      </x:c>
      <x:c r="G8" s="14" t="str">
        <x:v>Formal authority labels and machine-checked policy</x:v>
      </x:c>
      <x:c r="H8" s="14" t="str">
        <x:v>Yes</x:v>
      </x:c>
      <x:c r="I8" s="14" t="str">
        <x:v>Partial</x:v>
      </x:c>
      <x:c r="J8" s="14" t="str">
        <x:v>Strong</x:v>
      </x:c>
      <x:c r="K8" s="14" t="str">
        <x:v>Yes</x:v>
      </x:c>
      <x:c r="L8" s="14" t="str">
        <x:v>Yes</x:v>
      </x:c>
      <x:c r="M8" s="14" t="str">
        <x:v>Partial</x:v>
      </x:c>
      <x:c r="N8" s="14" t="str">
        <x:v>Partial</x:v>
      </x:c>
      <x:c r="O8" s="14" t="str">
        <x:v>Partial</x:v>
      </x:c>
      <x:c r="P8" s="14" t="str">
        <x:v>Machine-checked guarantees against provenance laundering under stated assumptions; extract threat model and proof scope.</x:v>
      </x:c>
      <x:c r="Q8" s="14" t="str">
        <x:v>Verify exact quantitative results, overhead and boundary conditions from full tables.</x:v>
      </x:c>
      <x:c r="R8" s="14" t="str">
        <x:v>Provenance versus authority; formal guarantees</x:v>
      </x:c>
    </x:row>
    <x:row r="9">
      <x:c r="A9" s="14" t="n">
        <x:v>39</x:v>
      </x:c>
      <x:c r="B9" s="14" t="str">
        <x:v>MemAudit: Post-hoc Auditing of Poisoned Agent Memory via Causal Attribution and Structural Anomaly Detection</x:v>
      </x:c>
      <x:c r="C9" s="14" t="str">
        <x:v>Defense / post-hoc audit</x:v>
      </x:c>
      <x:c r="D9" s="14" t="str">
        <x:v>Post hoc: Retrieve / Execute / Audit</x:v>
      </x:c>
      <x:c r="E9" s="14" t="str">
        <x:v>Counterfactual influence plus structural anomaly detection</x:v>
      </x:c>
      <x:c r="F9" s="14" t="str">
        <x:v>Counterfactual influence plus structural anomaly detection</x:v>
      </x:c>
      <x:c r="G9" s="14" t="str">
        <x:v>Post-incident access to memory and execution observations</x:v>
      </x:c>
      <x:c r="H9" s="14" t="str">
        <x:v>Partial</x:v>
      </x:c>
      <x:c r="I9" s="14" t="str">
        <x:v>Yes</x:v>
      </x:c>
      <x:c r="J9" s="14" t="str">
        <x:v>Strong</x:v>
      </x:c>
      <x:c r="K9" s="14" t="str">
        <x:v>Partial</x:v>
      </x:c>
      <x:c r="L9" s="14" t="str">
        <x:v>Yes</x:v>
      </x:c>
      <x:c r="M9" s="14" t="str">
        <x:v>Yes</x:v>
      </x:c>
      <x:c r="N9" s="14" t="str">
        <x:v>Partial</x:v>
      </x:c>
      <x:c r="O9" s="14" t="str">
        <x:v>Partial</x:v>
      </x:c>
      <x:c r="P9" s="14" t="str">
        <x:v>Direct post-hoc forensic study; extract attribution accuracy, ranking quality and ablation results.</x:v>
      </x:c>
      <x:c r="Q9" s="14" t="str">
        <x:v>Verify exact quantitative results, overhead and boundary conditions from full tables.</x:v>
      </x:c>
      <x:c r="R9" s="14" t="str">
        <x:v>Incident reconstruction and causal-confidence ladder</x:v>
      </x:c>
    </x:row>
    <x:row r="10">
      <x:c r="A10" s="14" t="n">
        <x:v>40</x:v>
      </x:c>
      <x:c r="B10" s="14" t="str">
        <x:v>Forensic Trajectory Signatures for Agent Memory Poisoning Detection</x:v>
      </x:c>
      <x:c r="C10" s="14" t="str">
        <x:v>Defense / forensics</x:v>
      </x:c>
      <x:c r="D10" s="14" t="str">
        <x:v>Execute / Detect</x:v>
      </x:c>
      <x:c r="E10" s="14" t="str">
        <x:v>Forensic trajectory signatures and real-time blocking</x:v>
      </x:c>
      <x:c r="F10" s="14" t="str">
        <x:v>Forensic trajectory signatures and real-time blocking</x:v>
      </x:c>
      <x:c r="G10" s="14" t="str">
        <x:v>Execution logs only</x:v>
      </x:c>
      <x:c r="H10" s="14" t="str">
        <x:v>Partial</x:v>
      </x:c>
      <x:c r="I10" s="14" t="str">
        <x:v>Yes</x:v>
      </x:c>
      <x:c r="J10" s="14" t="str">
        <x:v>Strong</x:v>
      </x:c>
      <x:c r="K10" s="14" t="str">
        <x:v>No</x:v>
      </x:c>
      <x:c r="L10" s="14" t="str">
        <x:v>Yes</x:v>
      </x:c>
      <x:c r="M10" s="14" t="str">
        <x:v>Partial</x:v>
      </x:c>
      <x:c r="N10" s="14" t="str">
        <x:v>Partial</x:v>
      </x:c>
      <x:c r="O10" s="14" t="str">
        <x:v>No</x:v>
      </x:c>
      <x:c r="P10" s="14" t="str">
        <x:v>Distinguishes memory-channel attacks from prompt injection using behavior traces; verify detection rates and false positives.</x:v>
      </x:c>
      <x:c r="Q10" s="14" t="str">
        <x:v>Verify exact quantitative results, overhead and boundary conditions from full tables.</x:v>
      </x:c>
      <x:c r="R10" s="14" t="str">
        <x:v>Behavioral evidence and attack-channel attribution</x:v>
      </x:c>
    </x:row>
    <x:row r="11">
      <x:c r="A11" s="14" t="n">
        <x:v>42</x:v>
      </x:c>
      <x:c r="B11" s="14" t="str">
        <x:v>A-MemGuard: A Proactive Defense Framework for LLM-Based Agent Memory</x:v>
      </x:c>
      <x:c r="C11" s="14" t="str">
        <x:v>Defense</x:v>
      </x:c>
      <x:c r="D11" s="14" t="str">
        <x:v>Write / Validate / Retrieve / Recover</x:v>
      </x:c>
      <x:c r="E11" s="14" t="str">
        <x:v>Consensus validation plus adaptive lesson-memory correction</x:v>
      </x:c>
      <x:c r="F11" s="14" t="str">
        <x:v>Consensus validation plus adaptive lesson-memory correction</x:v>
      </x:c>
      <x:c r="G11" s="14" t="str">
        <x:v>Defense layer observes candidate memory and context</x:v>
      </x:c>
      <x:c r="H11" s="14" t="str">
        <x:v>Yes</x:v>
      </x:c>
      <x:c r="I11" s="14" t="str">
        <x:v>Partial</x:v>
      </x:c>
      <x:c r="J11" s="14" t="str">
        <x:v>Moderate</x:v>
      </x:c>
      <x:c r="K11" s="14" t="str">
        <x:v>Partial</x:v>
      </x:c>
      <x:c r="L11" s="14" t="str">
        <x:v>Partial</x:v>
      </x:c>
      <x:c r="M11" s="14" t="str">
        <x:v>Partial</x:v>
      </x:c>
      <x:c r="N11" s="14" t="str">
        <x:v>No</x:v>
      </x:c>
      <x:c r="O11" s="14" t="str">
        <x:v>Yes</x:v>
      </x:c>
      <x:c r="P11" s="14" t="str">
        <x:v>Memory-native proactive defense interrupts self-reinforcing poisoning cycles; verify detection/utility values.</x:v>
      </x:c>
      <x:c r="Q11" s="14" t="str">
        <x:v>Verify exact quantitative results, overhead and boundary conditions from full tables.</x:v>
      </x:c>
      <x:c r="R11" s="14" t="str">
        <x:v>Prevention, adaptive correction and recovery</x:v>
      </x:c>
    </x:row>
    <x:row r="12">
      <x:c r="A12" s="14" t="n">
        <x:v>50</x:v>
      </x:c>
      <x:c r="B12" s="14" t="str">
        <x:v>Collaborative Memory: Multi-User Memory Sharing in LLM Agents with Dynamic Access Control</x:v>
      </x:c>
      <x:c r="C12" s="14" t="str">
        <x:v>Defense / governance</x:v>
      </x:c>
      <x:c r="D12" s="14" t="str">
        <x:v>Write / Share / Retrieve / Update</x:v>
      </x:c>
      <x:c r="E12" s="14" t="str">
        <x:v>Dynamic access control, immutable provenance and retrospective permission checks</x:v>
      </x:c>
      <x:c r="F12" s="14" t="str">
        <x:v>Dynamic access control, immutable provenance and retrospective permission checks</x:v>
      </x:c>
      <x:c r="G12" s="14" t="str">
        <x:v>Role/principal-scoped policy</x:v>
      </x:c>
      <x:c r="H12" s="14" t="str">
        <x:v>Yes</x:v>
      </x:c>
      <x:c r="I12" s="14" t="str">
        <x:v>Partial</x:v>
      </x:c>
      <x:c r="J12" s="14" t="str">
        <x:v>Strong</x:v>
      </x:c>
      <x:c r="K12" s="14" t="str">
        <x:v>Yes</x:v>
      </x:c>
      <x:c r="L12" s="14" t="str">
        <x:v>Yes</x:v>
      </x:c>
      <x:c r="M12" s="14" t="str">
        <x:v>No</x:v>
      </x:c>
      <x:c r="N12" s="14" t="str">
        <x:v>Yes</x:v>
      </x:c>
      <x:c r="O12" s="14" t="str">
        <x:v>Partial</x:v>
      </x:c>
      <x:c r="P12" s="14" t="str">
        <x:v>Demonstrates auditable shared-memory governance; verify policy overhead and evaluation scale.</x:v>
      </x:c>
      <x:c r="Q12" s="14" t="str">
        <x:v>System / framework evidence; not a broad independent security evaluation.</x:v>
      </x:c>
      <x:c r="R12" s="14" t="str">
        <x:v>Access control, shared memory and accountability</x:v>
      </x:c>
    </x:row>
    <x:row r="13">
      <x:c r="A13" s="14" t="n">
        <x:v>53</x:v>
      </x:c>
      <x:c r="B13" s="14" t="str">
        <x:v>SuperLocalMemory: Privacy-Preserving Multi-Agent Memory with Bayesian Trust Defense Against Memory Poisoning</x:v>
      </x:c>
      <x:c r="C13" s="14" t="str">
        <x:v>Defense / system</x:v>
      </x:c>
      <x:c r="D13" s="14" t="str">
        <x:v>Write / Retrieve / Share / Erase</x:v>
      </x:c>
      <x:c r="E13" s="14" t="str">
        <x:v>Local isolation and Bayesian trust defense</x:v>
      </x:c>
      <x:c r="F13" s="14" t="str">
        <x:v>Local isolation and Bayesian trust defense</x:v>
      </x:c>
      <x:c r="G13" s="14" t="str">
        <x:v>Per-agent provenance and trust scoring</x:v>
      </x:c>
      <x:c r="H13" s="14" t="str">
        <x:v>Yes</x:v>
      </x:c>
      <x:c r="I13" s="14" t="str">
        <x:v>Partial</x:v>
      </x:c>
      <x:c r="J13" s="14" t="str">
        <x:v>Strong</x:v>
      </x:c>
      <x:c r="K13" s="14" t="str">
        <x:v>Yes</x:v>
      </x:c>
      <x:c r="L13" s="14" t="str">
        <x:v>Yes</x:v>
      </x:c>
      <x:c r="M13" s="14" t="str">
        <x:v>Partial</x:v>
      </x:c>
      <x:c r="N13" s="14" t="str">
        <x:v>Yes</x:v>
      </x:c>
      <x:c r="O13" s="14" t="str">
        <x:v>Yes</x:v>
      </x:c>
      <x:c r="P13" s="14" t="str">
        <x:v>Reports poisoning defense and privacy-preserving local memory; verify quantitative security/utility results.</x:v>
      </x:c>
      <x:c r="Q13" s="14" t="str">
        <x:v>System / framework evidence; not a broad independent security evaluation.</x:v>
      </x:c>
      <x:c r="R13" s="14" t="str">
        <x:v>Trust-aware multi-agent memory and erasure</x:v>
      </x:c>
    </x:row>
    <x:row r="14">
      <x:c r="A14" s="14" t="n">
        <x:v>54</x:v>
      </x:c>
      <x:c r="B14" s="14" t="str">
        <x:v>MEMSAD: Gradient-Coupled Anomaly Detection for Memory Poisoning in Retrieval-Augmented Agents</x:v>
      </x:c>
      <x:c r="C14" s="14" t="str">
        <x:v>Defense</x:v>
      </x:c>
      <x:c r="D14" s="14" t="str">
        <x:v>Write / Retrieve / Detect</x:v>
      </x:c>
      <x:c r="E14" s="14" t="str">
        <x:v>Gradient-coupled calibrated anomaly detection</x:v>
      </x:c>
      <x:c r="F14" s="14" t="str">
        <x:v>Gradient-coupled calibrated anomaly detection</x:v>
      </x:c>
      <x:c r="G14" s="14" t="str">
        <x:v>Defense monitors memory records and gradients/features</x:v>
      </x:c>
      <x:c r="H14" s="14" t="str">
        <x:v>Yes</x:v>
      </x:c>
      <x:c r="I14" s="14" t="str">
        <x:v>Yes</x:v>
      </x:c>
      <x:c r="J14" s="14" t="str">
        <x:v>Moderate</x:v>
      </x:c>
      <x:c r="K14" s="14" t="str">
        <x:v>Partial</x:v>
      </x:c>
      <x:c r="L14" s="14" t="str">
        <x:v>Partial</x:v>
      </x:c>
      <x:c r="M14" s="14" t="str">
        <x:v>No</x:v>
      </x:c>
      <x:c r="N14" s="14" t="str">
        <x:v>No</x:v>
      </x:c>
      <x:c r="O14" s="14" t="str">
        <x:v>No</x:v>
      </x:c>
      <x:c r="P14" s="14" t="str">
        <x:v>Provides theoretical and empirical detection guarantees; extract TPR/FPR, calibration and system overhead.</x:v>
      </x:c>
      <x:c r="Q14" s="14" t="str">
        <x:v>Verify exact quantitative results, overhead and boundary conditions from full tables.</x:v>
      </x:c>
      <x:c r="R14" s="14" t="str">
        <x:v>Memory-poisoning detection</x:v>
      </x:c>
    </x:row>
    <x:row r="15">
      <x:c r="A15" s="14" t="n">
        <x:v>55</x:v>
      </x:c>
      <x:c r="B15" s="14" t="str">
        <x:v>Agentic Unlearning: When LLM Agent Meets Machine Unlearning</x:v>
      </x:c>
      <x:c r="C15" s="14" t="str">
        <x:v>Defense / recovery</x:v>
      </x:c>
      <x:c r="D15" s="14" t="str">
        <x:v>Forget / Recover</x:v>
      </x:c>
      <x:c r="E15" s="14" t="str">
        <x:v>Dependency-closure unlearning and synchronized memory/parameter recovery</x:v>
      </x:c>
      <x:c r="F15" s="14" t="str">
        <x:v>Dependency-closure unlearning and synchronized memory/parameter recovery</x:v>
      </x:c>
      <x:c r="G15" s="14" t="str">
        <x:v>Recovery authority over memories and model updates</x:v>
      </x:c>
      <x:c r="H15" s="14" t="str">
        <x:v>Partial</x:v>
      </x:c>
      <x:c r="I15" s="14" t="str">
        <x:v>Partial</x:v>
      </x:c>
      <x:c r="J15" s="14" t="str">
        <x:v>Strong</x:v>
      </x:c>
      <x:c r="K15" s="14" t="str">
        <x:v>Partial</x:v>
      </x:c>
      <x:c r="L15" s="14" t="str">
        <x:v>Partial</x:v>
      </x:c>
      <x:c r="M15" s="14" t="str">
        <x:v>Partial</x:v>
      </x:c>
      <x:c r="N15" s="14" t="str">
        <x:v>Yes</x:v>
      </x:c>
      <x:c r="O15" s="14" t="str">
        <x:v>Yes</x:v>
      </x:c>
      <x:c r="P15" s="14" t="str">
        <x:v>Targets parameter–memory backflow and recontamination; extract forgetting efficacy, utility and residual-risk metrics.</x:v>
      </x:c>
      <x:c r="Q15" s="14" t="str">
        <x:v>Verify exact quantitative results, overhead and boundary conditions from full tables.</x:v>
      </x:c>
      <x:c r="R15" s="14" t="str">
        <x:v>Recovery completeness and recontamination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c5b3e62723484cd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8" hidden="0" customWidth="1"/>
    <x:col min="4" max="4" width="14" hidden="0" customWidth="1"/>
    <x:col min="5" max="5" width="22" hidden="0" customWidth="1"/>
    <x:col min="6" max="6" width="12" hidden="0" customWidth="1"/>
    <x:col min="7" max="7" width="18" hidden="0" customWidth="1"/>
    <x:col min="8" max="8" width="14" hidden="0" customWidth="1"/>
    <x:col min="9" max="9" width="22" hidden="0" customWidth="1"/>
    <x:col min="10" max="10" width="22" hidden="0" customWidth="1"/>
    <x:col min="11" max="11" width="18" hidden="0" customWidth="1"/>
    <x:col min="12" max="12" width="18" hidden="0" customWidth="1"/>
    <x:col min="13" max="13" width="32" hidden="0" customWidth="1"/>
    <x:col min="14" max="14" width="28" hidden="0" customWidth="1"/>
    <x:col min="15" max="15" width="38" hidden="0" customWidth="1"/>
    <x:col min="16" max="16" width="28" hidden="0" customWidth="1"/>
  </x:cols>
  <x:sheetData>
    <x:row r="1">
      <x:c r="A1" s="4" t="str">
        <x:v>Benchmark Coverage for Persistent-Memory Security and Forensics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3">
      <x:c r="A3" s="20" t="str">
        <x:v>ID</x:v>
      </x:c>
      <x:c r="B3" s="20" t="str">
        <x:v>Benchmark</x:v>
      </x:c>
      <x:c r="C3" s="20" t="str">
        <x:v>Year</x:v>
      </x:c>
      <x:c r="D3" s="20" t="str">
        <x:v>Persistent memory</x:v>
      </x:c>
      <x:c r="E3" s="20" t="str">
        <x:v>Attack / failure ground truth</x:v>
      </x:c>
      <x:c r="F3" s="20" t="str">
        <x:v>Privacy</x:v>
      </x:c>
      <x:c r="G3" s="20" t="str">
        <x:v>Provenance ground truth</x:v>
      </x:c>
      <x:c r="H3" s="20" t="str">
        <x:v>Retrieval trace</x:v>
      </x:c>
      <x:c r="I3" s="20" t="str">
        <x:v>Memory-to-action ground truth</x:v>
      </x:c>
      <x:c r="J3" s="20" t="str">
        <x:v>Multi-agent / multi-principal</x:v>
      </x:c>
      <x:c r="K3" s="20" t="str">
        <x:v>Temporal persistence</x:v>
      </x:c>
      <x:c r="L3" s="20" t="str">
        <x:v>Forgetting / recovery</x:v>
      </x:c>
      <x:c r="M3" s="20" t="str">
        <x:v>Primary metrics</x:v>
      </x:c>
      <x:c r="N3" s="20" t="str">
        <x:v>Forensic value</x:v>
      </x:c>
      <x:c r="O3" s="20" t="str">
        <x:v>Current gap</x:v>
      </x:c>
      <x:c r="P3" s="20" t="str">
        <x:v>Use in manuscript</x:v>
      </x:c>
    </x:row>
    <x:row r="4">
      <x:c r="A4" s="14" t="n">
        <x:v>19</x:v>
      </x:c>
      <x:c r="B4" s="14" t="str">
        <x:v>From Untrusted Input to Trusted Memory: A Systematic Study of Memory Poisonin...</x:v>
      </x:c>
      <x:c r="C4" s="14" t="n">
        <x:v>2026</x:v>
      </x:c>
      <x:c r="D4" s="14" t="str">
        <x:v>Yes</x:v>
      </x:c>
      <x:c r="E4" s="14" t="str">
        <x:v>Yes</x:v>
      </x:c>
      <x:c r="F4" s="14" t="str">
        <x:v>Partial</x:v>
      </x:c>
      <x:c r="G4" s="14" t="str">
        <x:v>Partial</x:v>
      </x:c>
      <x:c r="H4" s="14" t="str">
        <x:v>Yes</x:v>
      </x:c>
      <x:c r="I4" s="14" t="str">
        <x:v>Partial</x:v>
      </x:c>
      <x:c r="J4" s="14" t="str">
        <x:v>No</x:v>
      </x:c>
      <x:c r="K4" s="14" t="str">
        <x:v>Yes</x:v>
      </x:c>
      <x:c r="L4" s="14" t="str">
        <x:v>No</x:v>
      </x:c>
      <x:c r="M4" s="14" t="str">
        <x:v>Attack success, retrieval success, behavioral influence</x:v>
      </x:c>
      <x:c r="N4" s="14" t="str">
        <x:v>Evidence-derived attack taxonomy and benchmark</x:v>
      </x:c>
      <x:c r="O4" s="14" t="str">
        <x:v>No complete source→write→retrieve→decision→action→recovery ground truth.</x:v>
      </x:c>
      <x:c r="P4" s="14" t="str">
        <x:v>Benchmark synthesis and gap analysis</x:v>
      </x:c>
    </x:row>
    <x:row r="5">
      <x:c r="A5" s="14" t="n">
        <x:v>59</x:v>
      </x:c>
      <x:c r="B5" s="14" t="str">
        <x:v>Mem2ActBench: A Benchmark for Evaluating Long-Term Memory Utilization in Task-Oriented Autonomous Agents</x:v>
      </x:c>
      <x:c r="C5" s="14" t="n">
        <x:v>2026</x:v>
      </x:c>
      <x:c r="D5" s="14" t="str">
        <x:v>Yes</x:v>
      </x:c>
      <x:c r="E5" s="14" t="str">
        <x:v>Partial</x:v>
      </x:c>
      <x:c r="F5" s="14" t="str">
        <x:v>No</x:v>
      </x:c>
      <x:c r="G5" s="14" t="str">
        <x:v>No</x:v>
      </x:c>
      <x:c r="H5" s="14" t="str">
        <x:v>Yes</x:v>
      </x:c>
      <x:c r="I5" s="14" t="str">
        <x:v>Yes</x:v>
      </x:c>
      <x:c r="J5" s="14" t="str">
        <x:v>No</x:v>
      </x:c>
      <x:c r="K5" s="14" t="str">
        <x:v>Partial</x:v>
      </x:c>
      <x:c r="L5" s="14" t="str">
        <x:v>No</x:v>
      </x:c>
      <x:c r="M5" s="14" t="str">
        <x:v>Tool-call and parameter grounding</x:v>
      </x:c>
      <x:c r="N5" s="14" t="str">
        <x:v>Benchmark: memory-to-action causality</x:v>
      </x:c>
      <x:c r="O5" s="14" t="str">
        <x:v>No complete source→write→retrieve→decision→action→recovery ground truth.</x:v>
      </x:c>
      <x:c r="P5" s="14" t="str">
        <x:v>Benchmark synthesis and gap analysis</x:v>
      </x:c>
    </x:row>
    <x:row r="6">
      <x:c r="A6" s="14" t="n">
        <x:v>60</x:v>
      </x:c>
      <x:c r="B6" s="14" t="str">
        <x:v>GATEMEM: Benchmarking Memory Governance in Multi-Principal Shared-Memory Agents</x:v>
      </x:c>
      <x:c r="C6" s="14" t="n">
        <x:v>2026</x:v>
      </x:c>
      <x:c r="D6" s="14" t="str">
        <x:v>Yes</x:v>
      </x:c>
      <x:c r="E6" s="14" t="str">
        <x:v>Yes</x:v>
      </x:c>
      <x:c r="F6" s="14" t="str">
        <x:v>Partial</x:v>
      </x:c>
      <x:c r="G6" s="14" t="str">
        <x:v>Partial</x:v>
      </x:c>
      <x:c r="H6" s="14" t="str">
        <x:v>Partial</x:v>
      </x:c>
      <x:c r="I6" s="14" t="str">
        <x:v>Partial</x:v>
      </x:c>
      <x:c r="J6" s="14" t="str">
        <x:v>Yes</x:v>
      </x:c>
      <x:c r="K6" s="14" t="str">
        <x:v>Partial</x:v>
      </x:c>
      <x:c r="L6" s="14" t="str">
        <x:v>Yes</x:v>
      </x:c>
      <x:c r="M6" s="14" t="str">
        <x:v>Access-control violations, utility, active forgetting</x:v>
      </x:c>
      <x:c r="N6" s="14" t="str">
        <x:v>Benchmark: governance, authority and recovery</x:v>
      </x:c>
      <x:c r="O6" s="14" t="str">
        <x:v>No complete source→write→retrieve→decision→action→recovery ground truth.</x:v>
      </x:c>
      <x:c r="P6" s="14" t="str">
        <x:v>Benchmark synthesis and gap analysis</x:v>
      </x:c>
    </x:row>
    <x:row r="7">
      <x:c r="A7" s="14" t="n">
        <x:v>61</x:v>
      </x:c>
      <x:c r="B7" s="14" t="str">
        <x:v>CIMemories: A Compositional Benchmark for Contextual Integrity of Persistent Memory in LLMs</x:v>
      </x:c>
      <x:c r="C7" s="14" t="n">
        <x:v>2025</x:v>
      </x:c>
      <x:c r="D7" s="14" t="str">
        <x:v>Yes</x:v>
      </x:c>
      <x:c r="E7" s="14" t="str">
        <x:v>Yes</x:v>
      </x:c>
      <x:c r="F7" s="14" t="str">
        <x:v>Yes</x:v>
      </x:c>
      <x:c r="G7" s="14" t="str">
        <x:v>Partial</x:v>
      </x:c>
      <x:c r="H7" s="14" t="str">
        <x:v>Yes</x:v>
      </x:c>
      <x:c r="I7" s="14" t="str">
        <x:v>Partial</x:v>
      </x:c>
      <x:c r="J7" s="14" t="str">
        <x:v>No</x:v>
      </x:c>
      <x:c r="K7" s="14" t="str">
        <x:v>Partial</x:v>
      </x:c>
      <x:c r="L7" s="14" t="str">
        <x:v>No</x:v>
      </x:c>
      <x:c r="M7" s="14" t="str">
        <x:v>Contextual-integrity violations and cumulative leakage</x:v>
      </x:c>
      <x:c r="N7" s="14" t="str">
        <x:v>Benchmark: privacy and contextual integrity</x:v>
      </x:c>
      <x:c r="O7" s="14" t="str">
        <x:v>No complete source→write→retrieve→decision→action→recovery ground truth.</x:v>
      </x:c>
      <x:c r="P7" s="14" t="str">
        <x:v>Benchmark synthesis and gap analysis</x:v>
      </x:c>
    </x:row>
    <x:row r="8">
      <x:c r="A8" s="14" t="n">
        <x:v>62</x:v>
      </x:c>
      <x:c r="B8" s="14" t="str">
        <x:v>PersistBench: When Should Long-Term Memories Be Forgotten by LLMs?</x:v>
      </x:c>
      <x:c r="C8" s="14" t="n">
        <x:v>2026</x:v>
      </x:c>
      <x:c r="D8" s="14" t="str">
        <x:v>Yes</x:v>
      </x:c>
      <x:c r="E8" s="14" t="str">
        <x:v>Yes</x:v>
      </x:c>
      <x:c r="F8" s="14" t="str">
        <x:v>Yes</x:v>
      </x:c>
      <x:c r="G8" s="14" t="str">
        <x:v>Partial</x:v>
      </x:c>
      <x:c r="H8" s="14" t="str">
        <x:v>Yes</x:v>
      </x:c>
      <x:c r="I8" s="14" t="str">
        <x:v>Partial</x:v>
      </x:c>
      <x:c r="J8" s="14" t="str">
        <x:v>No</x:v>
      </x:c>
      <x:c r="K8" s="14" t="str">
        <x:v>Yes</x:v>
      </x:c>
      <x:c r="L8" s="14" t="str">
        <x:v>Yes</x:v>
      </x:c>
      <x:c r="M8" s="14" t="str">
        <x:v>Leakage, sycophancy, retention/forgetting utility</x:v>
      </x:c>
      <x:c r="N8" s="14" t="str">
        <x:v>Benchmark: temporal validity and forgetting</x:v>
      </x:c>
      <x:c r="O8" s="14" t="str">
        <x:v>No complete source→write→retrieve→decision→action→recovery ground truth.</x:v>
      </x:c>
      <x:c r="P8" s="14" t="str">
        <x:v>Benchmark synthesis and gap analysis</x:v>
      </x:c>
    </x:row>
    <x:row r="9">
      <x:c r="A9" s="14" t="n">
        <x:v>65</x:v>
      </x:c>
      <x:c r="B9" s="14" t="str">
        <x:v>Agent Security Bench (ASB): Formalizing and Benchmarking Attacks and Defenses in LLM-Based Agents</x:v>
      </x:c>
      <x:c r="C9" s="14" t="n">
        <x:v>2025</x:v>
      </x:c>
      <x:c r="D9" s="14" t="str">
        <x:v>Yes</x:v>
      </x:c>
      <x:c r="E9" s="14" t="str">
        <x:v>Yes</x:v>
      </x:c>
      <x:c r="F9" s="14" t="str">
        <x:v>Partial</x:v>
      </x:c>
      <x:c r="G9" s="14" t="str">
        <x:v>No</x:v>
      </x:c>
      <x:c r="H9" s="14" t="str">
        <x:v>Partial</x:v>
      </x:c>
      <x:c r="I9" s="14" t="str">
        <x:v>Partial</x:v>
      </x:c>
      <x:c r="J9" s="14" t="str">
        <x:v>Partial</x:v>
      </x:c>
      <x:c r="K9" s="14" t="str">
        <x:v>Partial</x:v>
      </x:c>
      <x:c r="L9" s="14" t="str">
        <x:v>No</x:v>
      </x:c>
      <x:c r="M9" s="14" t="str">
        <x:v>Attack/defence effectiveness</x:v>
      </x:c>
      <x:c r="N9" s="14" t="str">
        <x:v>Benchmark context and comparison</x:v>
      </x:c>
      <x:c r="O9" s="14" t="str">
        <x:v>No complete source→write→retrieve→decision→action→recovery ground truth.</x:v>
      </x:c>
      <x:c r="P9" s="14" t="str">
        <x:v>Benchmark synthesis and gap analysis</x:v>
      </x:c>
    </x:row>
    <x:row r="10">
      <x:c r="A10" s="14" t="n">
        <x:v>66</x:v>
      </x:c>
      <x:c r="B10" s="14" t="str">
        <x:v>MemSyco-Bench: Benchmarking Sycophancy in Agent Memory</x:v>
      </x:c>
      <x:c r="C10" s="14" t="n">
        <x:v>2026</x:v>
      </x:c>
      <x:c r="D10" s="14" t="str">
        <x:v>Yes</x:v>
      </x:c>
      <x:c r="E10" s="14" t="str">
        <x:v>Partial</x:v>
      </x:c>
      <x:c r="F10" s="14" t="str">
        <x:v>No</x:v>
      </x:c>
      <x:c r="G10" s="14" t="str">
        <x:v>No</x:v>
      </x:c>
      <x:c r="H10" s="14" t="str">
        <x:v>Yes</x:v>
      </x:c>
      <x:c r="I10" s="14" t="str">
        <x:v>Yes</x:v>
      </x:c>
      <x:c r="J10" s="14" t="str">
        <x:v>No</x:v>
      </x:c>
      <x:c r="K10" s="14" t="str">
        <x:v>Partial</x:v>
      </x:c>
      <x:c r="L10" s="14" t="str">
        <x:v>No</x:v>
      </x:c>
      <x:c r="M10" s="14" t="str">
        <x:v>Memory-induced influence / sycophancy</x:v>
      </x:c>
      <x:c r="N10" s="14" t="str">
        <x:v>Benchmark: semantic validity and influence</x:v>
      </x:c>
      <x:c r="O10" s="14" t="str">
        <x:v>No complete source→write→retrieve→decision→action→recovery ground truth.</x:v>
      </x:c>
      <x:c r="P10" s="14" t="str">
        <x:v>Benchmark synthesis and gap analysis</x:v>
      </x:c>
    </x:row>
    <x:row r="11">
      <x:c r="A11" s="14" t="n">
        <x:v>67</x:v>
      </x:c>
      <x:c r="B11" s="14" t="str">
        <x:v>AgentLAB: Benchmarking LLM Agents against Long-Horizon Attacks</x:v>
      </x:c>
      <x:c r="C11" s="14" t="n">
        <x:v>2026</x:v>
      </x:c>
      <x:c r="D11" s="14" t="str">
        <x:v>Yes</x:v>
      </x:c>
      <x:c r="E11" s="14" t="str">
        <x:v>Yes</x:v>
      </x:c>
      <x:c r="F11" s="14" t="str">
        <x:v>Partial</x:v>
      </x:c>
      <x:c r="G11" s="14" t="str">
        <x:v>Partial</x:v>
      </x:c>
      <x:c r="H11" s="14" t="str">
        <x:v>Yes</x:v>
      </x:c>
      <x:c r="I11" s="14" t="str">
        <x:v>Partial</x:v>
      </x:c>
      <x:c r="J11" s="14" t="str">
        <x:v>Partial</x:v>
      </x:c>
      <x:c r="K11" s="14" t="str">
        <x:v>Yes</x:v>
      </x:c>
      <x:c r="L11" s="14" t="str">
        <x:v>No</x:v>
      </x:c>
      <x:c r="M11" s="14" t="str">
        <x:v>Long-horizon attack success and task impact</x:v>
      </x:c>
      <x:c r="N11" s="14" t="str">
        <x:v>Benchmark: temporal persistence and long-horizon attacks</x:v>
      </x:c>
      <x:c r="O11" s="14" t="str">
        <x:v>No complete source→write→retrieve→decision→action→recovery ground truth.</x:v>
      </x:c>
      <x:c r="P11" s="14" t="str">
        <x:v>Benchmark synthesis and gap analysis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5ae6e4f1bd614d2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4" hidden="0" customWidth="1"/>
    <x:col min="3" max="3" width="26" hidden="0" customWidth="1"/>
    <x:col min="4" max="4" width="8" hidden="0" customWidth="1"/>
    <x:col min="5" max="5" width="26" hidden="0" customWidth="1"/>
    <x:col min="6" max="6" width="42" hidden="0" customWidth="1"/>
    <x:col min="7" max="7" width="15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4" hidden="0" customWidth="1"/>
    <x:col min="13" max="13" width="18" hidden="0" customWidth="1"/>
    <x:col min="14" max="14" width="48" hidden="0" customWidth="1"/>
  </x:cols>
  <x:sheetData>
    <x:row r="1">
      <x:c r="A1" s="4" t="str">
        <x:v>Related Survey Comparison and Novelty Boundary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20" t="str">
        <x:v>ID</x:v>
      </x:c>
      <x:c r="B3" s="20" t="str">
        <x:v>Survey</x:v>
      </x:c>
      <x:c r="C3" s="20" t="str">
        <x:v>Authors</x:v>
      </x:c>
      <x:c r="D3" s="20" t="str">
        <x:v>Year</x:v>
      </x:c>
      <x:c r="E3" s="20" t="str">
        <x:v>Status / venue</x:v>
      </x:c>
      <x:c r="F3" s="20" t="str">
        <x:v>Primary scope</x:v>
      </x:c>
      <x:c r="G3" s="20" t="str">
        <x:v>Lifecycle security</x:v>
      </x:c>
      <x:c r="H3" s="20" t="str">
        <x:v>Memory provenance</x:v>
      </x:c>
      <x:c r="I3" s="20" t="str">
        <x:v>Incident reconstruction</x:v>
      </x:c>
      <x:c r="J3" s="20" t="str">
        <x:v>Causal confidence</x:v>
      </x:c>
      <x:c r="K3" s="20" t="str">
        <x:v>Blast-radius analysis</x:v>
      </x:c>
      <x:c r="L3" s="20" t="str">
        <x:v>Anti-forensics</x:v>
      </x:c>
      <x:c r="M3" s="20" t="str">
        <x:v>Recovery completeness</x:v>
      </x:c>
      <x:c r="N3" s="20" t="str">
        <x:v>How this paper differs</x:v>
      </x:c>
    </x:row>
    <x:row r="4">
      <x:c r="A4" s="14" t="n">
        <x:v>1</x:v>
      </x:c>
      <x:c r="B4" s="14" t="str">
        <x:v>A Survey on Long-Term Memory Security in LLM Agents: Attacks, Defenses, and Governance Across the Memory Lifecycle</x:v>
      </x:c>
      <x:c r="C4" s="14" t="str">
        <x:v>Zehao Lin et al.</x:v>
      </x:c>
      <x:c r="D4" s="14" t="n">
        <x:v>2026</x:v>
      </x:c>
      <x:c r="E4" s="14" t="str">
        <x:v>Preprint — arXiv</x:v>
      </x:c>
      <x:c r="F4" s="14" t="str">
        <x:v>PRIMARY competitor: 6-phase lifecycle x 4 objectives + VMG primitives. v1/v2 are the SAME paper.</x:v>
      </x:c>
      <x:c r="G4" s="14" t="str">
        <x:v>Yes</x:v>
      </x:c>
      <x:c r="H4" s="14" t="str">
        <x:v>Partial</x:v>
      </x:c>
      <x:c r="I4" s="14" t="str">
        <x:v>No</x:v>
      </x:c>
      <x:c r="J4" s="14" t="str">
        <x:v>No</x:v>
      </x:c>
      <x:c r="K4" s="14" t="str">
        <x:v>Partial</x:v>
      </x:c>
      <x:c r="L4" s="14" t="str">
        <x:v>No</x:v>
      </x:c>
      <x:c r="M4" s="14" t="str">
        <x:v>Partial</x:v>
      </x:c>
      <x:c r="N4" s="14" t="str">
        <x:v>Our unit is post-incident evidence sufficiency, causal reconstruction and residual-contamination recovery.</x:v>
      </x:c>
    </x:row>
    <x:row r="5">
      <x:c r="A5" s="14" t="n">
        <x:v>2</x:v>
      </x:c>
      <x:c r="B5" s="14" t="str">
        <x:v>From Agent Traces to Trust: A Survey of Evidence Tracing and Execution Provenance in LLM Agents</x:v>
      </x:c>
      <x:c r="C5" s="14" t="str">
        <x:v>Yiqi Wang et al.</x:v>
      </x:c>
      <x:c r="D5" s="14" t="n">
        <x:v>2026</x:v>
      </x:c>
      <x:c r="E5" s="14" t="str">
        <x:v>Preprint — arXiv/OpenReview</x:v>
      </x:c>
      <x:c r="F5" s="14" t="str">
        <x:v>HIGHEST overlap: provenance survey w/ dedicated memory-provenance + audit/recovery + benchmark-gap.</x:v>
      </x:c>
      <x:c r="G5" s="14" t="str">
        <x:v>Partial</x:v>
      </x:c>
      <x:c r="H5" s="14" t="str">
        <x:v>Yes</x:v>
      </x:c>
      <x:c r="I5" s="14" t="str">
        <x:v>Partial</x:v>
      </x:c>
      <x:c r="J5" s="14" t="str">
        <x:v>Partial</x:v>
      </x:c>
      <x:c r="K5" s="14" t="str">
        <x:v>Partial</x:v>
      </x:c>
      <x:c r="L5" s="14" t="str">
        <x:v>Partial</x:v>
      </x:c>
      <x:c r="M5" s="14" t="str">
        <x:v>Partial</x:v>
      </x:c>
      <x:c r="N5" s="14" t="str">
        <x:v>We restrict the analysis to persistent-memory incidents and add causal confidence, blast radius and recovery completeness.</x:v>
      </x:c>
    </x:row>
    <x:row r="6">
      <x:c r="A6" s="14" t="n">
        <x:v>3</x:v>
      </x:c>
      <x:c r="B6" s="14" t="str">
        <x:v>Always-On Agents: A Survey of Persistent Memory, State, and Governance in LLM Agents</x:v>
      </x:c>
      <x:c r="C6" s="14" t="str">
        <x:v>Tianyu Ding et al.</x:v>
      </x:c>
      <x:c r="D6" s="14" t="n">
        <x:v>2026</x:v>
      </x:c>
      <x:c r="E6" s="14" t="str">
        <x:v>Preprint — arXiv</x:v>
      </x:c>
      <x:c r="F6" s="14" t="str">
        <x:v>Persistent-state survey; makes authority &amp; recoverability first-class. Add to Table 11.</x:v>
      </x:c>
      <x:c r="G6" s="14" t="str">
        <x:v>Yes</x:v>
      </x:c>
      <x:c r="H6" s="14" t="str">
        <x:v>Yes</x:v>
      </x:c>
      <x:c r="I6" s="14" t="str">
        <x:v>No</x:v>
      </x:c>
      <x:c r="J6" s="14" t="str">
        <x:v>No</x:v>
      </x:c>
      <x:c r="K6" s="14" t="str">
        <x:v>Partial</x:v>
      </x:c>
      <x:c r="L6" s="14" t="str">
        <x:v>No</x:v>
      </x:c>
      <x:c r="M6" s="14" t="str">
        <x:v>Yes</x:v>
      </x:c>
      <x:c r="N6" s="14" t="str">
        <x:v>We focus on forensic investigation after memory compromise rather than general persistent-state governance.</x:v>
      </x:c>
    </x:row>
    <x:row r="7">
      <x:c r="A7" s="14" t="n">
        <x:v>4</x:v>
      </x:c>
      <x:c r="B7" s="14" t="str">
        <x:v>Memory in the Age of AI Agents: A Survey—Forms, Functions and Dynamics</x:v>
      </x:c>
      <x:c r="C7" s="14" t="str">
        <x:v>Yuyang Hu et al.</x:v>
      </x:c>
      <x:c r="D7" s="14" t="n">
        <x:v>2026</x:v>
      </x:c>
      <x:c r="E7" s="14" t="str">
        <x:v>Preprint — arXiv</x:v>
      </x:c>
      <x:c r="F7" s="14" t="str">
        <x:v>General agent-memory overview; same RAG-vs-agent-memory distinction you use.</x:v>
      </x:c>
      <x:c r="G7" s="14" t="str">
        <x:v>Partial</x:v>
      </x:c>
      <x:c r="H7" s="14" t="str">
        <x:v>Partial</x:v>
      </x:c>
      <x:c r="I7" s="14" t="str">
        <x:v>No</x:v>
      </x:c>
      <x:c r="J7" s="14" t="str">
        <x:v>No</x:v>
      </x:c>
      <x:c r="K7" s="14" t="str">
        <x:v>No</x:v>
      </x:c>
      <x:c r="L7" s="14" t="str">
        <x:v>No</x:v>
      </x:c>
      <x:c r="M7" s="14" t="str">
        <x:v>Partial</x:v>
      </x:c>
      <x:c r="N7" s="14" t="str">
        <x:v>Background or broad survey; does not provide a persistent-memory forensic-readiness synthesis.</x:v>
      </x:c>
    </x:row>
    <x:row r="8">
      <x:c r="A8" s="14" t="n">
        <x:v>5</x:v>
      </x:c>
      <x:c r="B8" s="14" t="str">
        <x:v>A Survey on the Memory Mechanism of Large Language Model Based Agents</x:v>
      </x:c>
      <x:c r="C8" s="14" t="str">
        <x:v>Zeyu Zhang et al.</x:v>
      </x:c>
      <x:c r="D8" s="14" t="n">
        <x:v>2025</x:v>
      </x:c>
      <x:c r="E8" s="14" t="str">
        <x:v>Peer-reviewed — ACM TOIS 43(6)</x:v>
      </x:c>
      <x:c r="F8" s="14" t="str">
        <x:v>Canonical mechanism survey; peer-reviewed baseline you extend toward forensics.</x:v>
      </x:c>
      <x:c r="G8" s="14" t="str">
        <x:v>Partial</x:v>
      </x:c>
      <x:c r="H8" s="14" t="str">
        <x:v>Partial</x:v>
      </x:c>
      <x:c r="I8" s="14" t="str">
        <x:v>No</x:v>
      </x:c>
      <x:c r="J8" s="14" t="str">
        <x:v>No</x:v>
      </x:c>
      <x:c r="K8" s="14" t="str">
        <x:v>No</x:v>
      </x:c>
      <x:c r="L8" s="14" t="str">
        <x:v>No</x:v>
      </x:c>
      <x:c r="M8" s="14" t="str">
        <x:v>Partial</x:v>
      </x:c>
      <x:c r="N8" s="14" t="str">
        <x:v>Background or broad survey; does not provide a persistent-memory forensic-readiness synthesis.</x:v>
      </x:c>
    </x:row>
    <x:row r="9">
      <x:c r="A9" s="14" t="n">
        <x:v>6</x:v>
      </x:c>
      <x:c r="B9" s="14" t="str">
        <x:v>Towards Secure Retrieval-Augmented Generation: A Comprehensive Review of Threats, Defenses and Benchmarks</x:v>
      </x:c>
      <x:c r="C9" s="14" t="str">
        <x:v>Yanming Mu et al.</x:v>
      </x:c>
      <x:c r="D9" s="14" t="n">
        <x:v>2026</x:v>
      </x:c>
      <x:c r="E9" s="14" t="str">
        <x:v>Preprint — arXiv</x:v>
      </x:c>
      <x:c r="F9" s="14" t="str">
        <x:v>RAG-security review; adjacent — distinguish agent write-path from RAG corpus.</x:v>
      </x:c>
      <x:c r="G9" s="14" t="str">
        <x:v>Partial</x:v>
      </x:c>
      <x:c r="H9" s="14" t="str">
        <x:v>Partial</x:v>
      </x:c>
      <x:c r="I9" s="14" t="str">
        <x:v>No</x:v>
      </x:c>
      <x:c r="J9" s="14" t="str">
        <x:v>No</x:v>
      </x:c>
      <x:c r="K9" s="14" t="str">
        <x:v>No</x:v>
      </x:c>
      <x:c r="L9" s="14" t="str">
        <x:v>No</x:v>
      </x:c>
      <x:c r="M9" s="14" t="str">
        <x:v>Partial</x:v>
      </x:c>
      <x:c r="N9" s="14" t="str">
        <x:v>Background or broad survey; does not provide a persistent-memory forensic-readiness synthesis.</x:v>
      </x:c>
    </x:row>
    <x:row r="10">
      <x:c r="A10" s="14" t="n">
        <x:v>7</x:v>
      </x:c>
      <x:c r="B10" s="14" t="str">
        <x:v>Security of LLM-Based Agents Regarding Attacks, Defenses, and Applications: A Comprehensive Survey</x:v>
      </x:c>
      <x:c r="C10" s="14" t="str">
        <x:v>Yaxin Tang et al.</x:v>
      </x:c>
      <x:c r="D10" s="14" t="n">
        <x:v>2026</x:v>
      </x:c>
      <x:c r="E10" s="14" t="str">
        <x:v>Peer-reviewed — Information Fusion 127 (2026) 103941</x:v>
      </x:c>
      <x:c r="F10" s="14" t="str">
        <x:v>Broad agent-security survey; memory is one slice. Broader-but-shallower contrast.</x:v>
      </x:c>
      <x:c r="G10" s="14" t="str">
        <x:v>Partial</x:v>
      </x:c>
      <x:c r="H10" s="14" t="str">
        <x:v>Partial</x:v>
      </x:c>
      <x:c r="I10" s="14" t="str">
        <x:v>No</x:v>
      </x:c>
      <x:c r="J10" s="14" t="str">
        <x:v>No</x:v>
      </x:c>
      <x:c r="K10" s="14" t="str">
        <x:v>No</x:v>
      </x:c>
      <x:c r="L10" s="14" t="str">
        <x:v>No</x:v>
      </x:c>
      <x:c r="M10" s="14" t="str">
        <x:v>Partial</x:v>
      </x:c>
      <x:c r="N10" s="14" t="str">
        <x:v>Background or broad survey; does not provide a persistent-memory forensic-readiness synthesis.</x:v>
      </x:c>
    </x:row>
    <x:row r="11">
      <x:c r="A11" s="14" t="n">
        <x:v>8</x:v>
      </x:c>
      <x:c r="B11" s="14" t="str">
        <x:v>AI Meets Brain: A Unified Survey on Memory Systems from Cognitive Neuroscience to Autonomous Agents</x:v>
      </x:c>
      <x:c r="C11" s="14" t="str">
        <x:v>Jiafeng Liang et al.</x:v>
      </x:c>
      <x:c r="D11" s="14" t="n">
        <x:v>2025</x:v>
      </x:c>
      <x:c r="E11" s="14" t="str">
        <x:v>Preprint — arXiv</x:v>
      </x:c>
      <x:c r="F11" s="14" t="str">
        <x:v>Neuroscience-to-agent memory survey; adjacent to your human-memory grounding.</x:v>
      </x:c>
      <x:c r="G11" s="14" t="str">
        <x:v>Partial</x:v>
      </x:c>
      <x:c r="H11" s="14" t="str">
        <x:v>Partial</x:v>
      </x:c>
      <x:c r="I11" s="14" t="str">
        <x:v>No</x:v>
      </x:c>
      <x:c r="J11" s="14" t="str">
        <x:v>No</x:v>
      </x:c>
      <x:c r="K11" s="14" t="str">
        <x:v>No</x:v>
      </x:c>
      <x:c r="L11" s="14" t="str">
        <x:v>No</x:v>
      </x:c>
      <x:c r="M11" s="14" t="str">
        <x:v>Partial</x:v>
      </x:c>
      <x:c r="N11" s="14" t="str">
        <x:v>Background or broad survey; does not provide a persistent-memory forensic-readiness synthesis.</x:v>
      </x:c>
    </x:row>
    <x:row r="12">
      <x:c r="A12" s="14" t="n">
        <x:v>9</x:v>
      </x:c>
      <x:c r="B12" s="14" t="str">
        <x:v>From Storage to Experience: A Survey on the Evolution of LLM Agent Memory Mechanisms</x:v>
      </x:c>
      <x:c r="C12" s="14" t="str">
        <x:v>Jinghao Luo et al.</x:v>
      </x:c>
      <x:c r="D12" s="14" t="n">
        <x:v>2026</x:v>
      </x:c>
      <x:c r="E12" s="14" t="str">
        <x:v>Preprint — arXiv</x:v>
      </x:c>
      <x:c r="F12" s="14" t="str">
        <x:v>Memory-mechanism survey (capability). Cite as mechanism reference.</x:v>
      </x:c>
      <x:c r="G12" s="14" t="str">
        <x:v>Partial</x:v>
      </x:c>
      <x:c r="H12" s="14" t="str">
        <x:v>Partial</x:v>
      </x:c>
      <x:c r="I12" s="14" t="str">
        <x:v>No</x:v>
      </x:c>
      <x:c r="J12" s="14" t="str">
        <x:v>No</x:v>
      </x:c>
      <x:c r="K12" s="14" t="str">
        <x:v>No</x:v>
      </x:c>
      <x:c r="L12" s="14" t="str">
        <x:v>No</x:v>
      </x:c>
      <x:c r="M12" s="14" t="str">
        <x:v>Partial</x:v>
      </x:c>
      <x:c r="N12" s="14" t="str">
        <x:v>Background or broad survey; does not provide a persistent-memory forensic-readiness synthesis.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9a7bd34a18984cd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24" hidden="0" customWidth="1"/>
    <x:col min="4" max="4" width="8" hidden="0" customWidth="1"/>
    <x:col min="5" max="5" width="26" hidden="0" customWidth="1"/>
    <x:col min="6" max="6" width="22" hidden="0" customWidth="1"/>
    <x:col min="7" max="7" width="48" hidden="0" customWidth="1"/>
    <x:col min="8" max="8" width="30" hidden="0" customWidth="1"/>
    <x:col min="9" max="9" width="28" hidden="0" customWidth="1"/>
    <x:col min="10" max="10" width="16" hidden="0" customWidth="1"/>
    <x:col min="11" max="11" width="38" hidden="0" customWidth="1"/>
  </x:cols>
  <x:sheetData>
    <x:row r="1">
      <x:c r="A1" s="4" t="str">
        <x:v>Adjacent, Background and Non-Core Uploaded Papers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20" t="str">
        <x:v>Study ID</x:v>
      </x:c>
      <x:c r="B3" s="20" t="str">
        <x:v>Title</x:v>
      </x:c>
      <x:c r="C3" s="20" t="str">
        <x:v>Authors</x:v>
      </x:c>
      <x:c r="D3" s="20" t="str">
        <x:v>Year</x:v>
      </x:c>
      <x:c r="E3" s="20" t="str">
        <x:v>Source</x:v>
      </x:c>
      <x:c r="F3" s="20" t="str">
        <x:v>Role</x:v>
      </x:c>
      <x:c r="G3" s="20" t="str">
        <x:v>Reason not counted as core</x:v>
      </x:c>
      <x:c r="H3" s="20" t="str">
        <x:v>How it is used</x:v>
      </x:c>
      <x:c r="I3" s="20" t="str">
        <x:v>PDF file</x:v>
      </x:c>
      <x:c r="J3" s="20" t="str">
        <x:v>Metadata status</x:v>
      </x:c>
      <x:c r="K3" s="20" t="str">
        <x:v>Notes</x:v>
      </x:c>
    </x:row>
    <x:row r="4">
      <x:c r="A4" s="14" t="n">
        <x:v>80</x:v>
      </x:c>
      <x:c r="B4" s="14" t="str">
        <x:v>Why Do Multi-Agent LLM Systems Fail?</x:v>
      </x:c>
      <x:c r="C4" s="14" t="str">
        <x:v>Mert Cemri et al.</x:v>
      </x:c>
      <x:c r="D4" s="14" t="n">
        <x:v>2025</x:v>
      </x:c>
      <x:c r="E4" s="14" t="str">
        <x:v>NeurIPS 2025 Datasets and Benchmarks</x:v>
      </x:c>
      <x:c r="F4" s="14" t="str">
        <x:v>Foundation / adjacent</x:v>
      </x:c>
      <x:c r="G4" s="14" t="str">
        <x:v>Multi-agent failure taxonomy and cascading failure evidence; useful for blast-radius and propagation discussion, but not a persistent-memory primary study.</x:v>
      </x:c>
      <x:c r="H4" s="14" t="str">
        <x:v>Background / comparison / methods foundation</x:v>
      </x:c>
      <x:c r="I4" s="14" t="str">
        <x:v>2503.13657v3.pdf</x:v>
      </x:c>
      <x:c r="J4" s="14" t="str">
        <x:v>Verified</x:v>
      </x:c>
      <x:c r="K4" s="14" t="str">
        <x:v>Matches corpus ID 80 (MAST).</x:v>
      </x:c>
    </x:row>
    <x:row r="5">
      <x:c r="A5" s="14" t="n">
        <x:v>79</x:v>
      </x:c>
      <x:c r="B5" s="14" t="str">
        <x:v>A Lattice Model of Secure Information Flow</x:v>
      </x:c>
      <x:c r="C5" s="14" t="str">
        <x:v>Dorothy E. Denning</x:v>
      </x:c>
      <x:c r="D5" s="14" t="n">
        <x:v>1976</x:v>
      </x:c>
      <x:c r="E5" s="14" t="str">
        <x:v>Communications of the ACM 19(5)</x:v>
      </x:c>
      <x:c r="F5" s="14" t="str">
        <x:v>Foundation</x:v>
      </x:c>
      <x:c r="G5" s="14" t="str">
        <x:v>Foundational information-flow model supporting isolation, authority, and least-privilege arguments.</x:v>
      </x:c>
      <x:c r="H5" s="14" t="str">
        <x:v>Background / comparison / methods foundation</x:v>
      </x:c>
      <x:c r="I5" s="14" t="str">
        <x:v>360051.360056.pdf</x:v>
      </x:c>
      <x:c r="J5" s="14" t="str">
        <x:v>Verified</x:v>
      </x:c>
      <x:c r="K5" s="14" t="str">
        <x:v>Matches corpus ID 79.</x:v>
      </x:c>
    </x:row>
    <x:row r="6">
      <x:c r="A6" s="14" t="n">
        <x:v>78</x:v>
      </x:c>
      <x:c r="B6" s="14" t="str">
        <x:v>A Comparison of Commercial and Military Computer Security Policies</x:v>
      </x:c>
      <x:c r="C6" s="14" t="str">
        <x:v>David D. Clark and David R. Wilson</x:v>
      </x:c>
      <x:c r="D6" s="14" t="n">
        <x:v>1987</x:v>
      </x:c>
      <x:c r="E6" s="14" t="str">
        <x:v>IEEE Symposium on Security and Privacy</x:v>
      </x:c>
      <x:c r="F6" s="14" t="str">
        <x:v>Foundation</x:v>
      </x:c>
      <x:c r="G6" s="14" t="str">
        <x:v>Foundational integrity-policy paper supporting the distinction between byte integrity, semantic validity, and well-formed transformation.</x:v>
      </x:c>
      <x:c r="H6" s="14" t="str">
        <x:v>Background / comparison / methods foundation</x:v>
      </x:c>
      <x:c r="I6" s="14" t="str">
        <x:v>A_Comparison_of_Commercial_and_Military.pdf</x:v>
      </x:c>
      <x:c r="J6" s="14" t="str">
        <x:v>Verified</x:v>
      </x:c>
      <x:c r="K6" s="14" t="str">
        <x:v>Matches corpus ID 78.</x:v>
      </x:c>
    </x:row>
    <x:row r="7">
      <x:c r="A7" s="14" t="n">
        <x:v>77</x:v>
      </x:c>
      <x:c r="B7" s="14" t="str">
        <x:v>Efficient Data Structures for Tamper-Evident Logging</x:v>
      </x:c>
      <x:c r="C7" s="14" t="str">
        <x:v>Scott A. Crosby and Dan S. Wallach</x:v>
      </x:c>
      <x:c r="D7" s="14" t="n">
        <x:v>2009</x:v>
      </x:c>
      <x:c r="E7" s="14" t="str">
        <x:v>USENIX Security Symposium</x:v>
      </x:c>
      <x:c r="F7" s="14" t="str">
        <x:v>Foundation</x:v>
      </x:c>
      <x:c r="G7" s="14" t="str">
        <x:v>Supports the independent append-only evidence plane and efficient proofs of event inclusion and log consistency.</x:v>
      </x:c>
      <x:c r="H7" s="14" t="str">
        <x:v>Background / comparison / methods foundation</x:v>
      </x:c>
      <x:c r="I7" s="14" t="str">
        <x:v>crosby.pdf</x:v>
      </x:c>
      <x:c r="J7" s="14" t="str">
        <x:v>Verified</x:v>
      </x:c>
      <x:c r="K7" s="14" t="str">
        <x:v>Matches corpus ID 77.</x:v>
      </x:c>
    </x:row>
    <x:row r="8">
      <x:c r="A8" s="14" t="n">
        <x:v>71</x:v>
      </x:c>
      <x:c r="B8" s="14" t="str">
        <x:v>Guide to Integrating Forensic Techniques into Incident Response</x:v>
      </x:c>
      <x:c r="C8" s="14" t="str">
        <x:v>Karen Kent et al.</x:v>
      </x:c>
      <x:c r="D8" s="14" t="n">
        <x:v>2006</x:v>
      </x:c>
      <x:c r="E8" s="14" t="str">
        <x:v>NIST Special Publication 800-86</x:v>
      </x:c>
      <x:c r="F8" s="14" t="str">
        <x:v>Standard / foundation</x:v>
      </x:c>
      <x:c r="G8" s="14" t="str">
        <x:v>Provides the forensic process foundation: collection, examination, analysis, and reporting, adapted in the survey investigation workflow.</x:v>
      </x:c>
      <x:c r="H8" s="14" t="str">
        <x:v>Background / comparison / methods foundation</x:v>
      </x:c>
      <x:c r="I8" s="14" t="str">
        <x:v>nistspecialpublication800-86.pdf</x:v>
      </x:c>
      <x:c r="J8" s="14" t="str">
        <x:v>Verified</x:v>
      </x:c>
      <x:c r="K8" s="14" t="str">
        <x:v>Matches corpus ID 71.</x:v>
      </x:c>
    </x:row>
    <x:row r="9">
      <x:c r="A9" s="14" t="n">
        <x:v>70</x:v>
      </x:c>
      <x:c r="B9" s="14" t="str">
        <x:v>PROV-DM: The PROV Data Model</x:v>
      </x:c>
      <x:c r="C9" s="14" t="str">
        <x:v>Luc Moreau and Paolo Missier (eds.)</x:v>
      </x:c>
      <x:c r="D9" s="14" t="n">
        <x:v>2013</x:v>
      </x:c>
      <x:c r="E9" s="14" t="str">
        <x:v>W3C Recommendation</x:v>
      </x:c>
      <x:c r="F9" s="14" t="str">
        <x:v>Standard / foundation</x:v>
      </x:c>
      <x:c r="G9" s="14" t="str">
        <x:v>Core provenance vocabulary for entities, activities, agents, derivation, responsibility, and provenance bundles; maps directly to MEIRC.</x:v>
      </x:c>
      <x:c r="H9" s="14" t="str">
        <x:v>Background / comparison / methods foundation</x:v>
      </x:c>
      <x:c r="I9" s="14" t="str">
        <x:v>PROV-DM_ The PROV Data Model.pdf</x:v>
      </x:c>
      <x:c r="J9" s="14" t="str">
        <x:v>Verified</x:v>
      </x:c>
      <x:c r="K9" s="14" t="str">
        <x:v>Matches corpus ID 70.</x:v>
      </x:c>
    </x:row>
    <x:row r="10">
      <x:c r="A10" s="14" t="n">
        <x:v>69</x:v>
      </x:c>
      <x:c r="B10" s="14" t="str">
        <x:v>TOFU: A Task of Fictitious Unlearning for LLMs</x:v>
      </x:c>
      <x:c r="C10" s="14" t="str">
        <x:v>Pratyush Maini et al.</x:v>
      </x:c>
      <x:c r="D10" s="14" t="n">
        <x:v>2024</x:v>
      </x:c>
      <x:c r="E10" s="14" t="str">
        <x:v>COLM 2024</x:v>
      </x:c>
      <x:c r="F10" s="14" t="str">
        <x:v>Foundation / benchmark</x:v>
      </x:c>
      <x:c r="G10" s="14" t="str">
        <x:v>Model-level unlearning benchmark; useful only as a conceptual foundation for verified forgetting, not as a persistent-agent-memory primary study.</x:v>
      </x:c>
      <x:c r="H10" s="14" t="str">
        <x:v>Background / comparison / methods foundation</x:v>
      </x:c>
      <x:c r="I10" s="14" t="str">
        <x:v>424_TOFU_A_Task_of_Fictitious_.pdf</x:v>
      </x:c>
      <x:c r="J10" s="14" t="str">
        <x:v>Verified</x:v>
      </x:c>
      <x:c r="K10" s="14" t="str">
        <x:v>Matches corpus ID 69; keep outside primary corpus unless used only for recovery foundations.</x:v>
      </x:c>
    </x:row>
    <x:row r="11">
      <x:c r="A11" s="14" t="n">
        <x:v>68</x:v>
      </x:c>
      <x:c r="B11" s="14" t="str">
        <x:v>Machine Unlearning</x:v>
      </x:c>
      <x:c r="C11" s="14" t="str">
        <x:v>Lucas Bourtoule et al.</x:v>
      </x:c>
      <x:c r="D11" s="14" t="n">
        <x:v>2021</x:v>
      </x:c>
      <x:c r="E11" s="14" t="str">
        <x:v>IEEE Symposium on Security and Privacy</x:v>
      </x:c>
      <x:c r="F11" s="14" t="str">
        <x:v>Foundation</x:v>
      </x:c>
      <x:c r="G11" s="14" t="str">
        <x:v>Foundational SISA unlearning work showing that removing influence differs from deleting a record; not persistent-memory-agent evidence.</x:v>
      </x:c>
      <x:c r="H11" s="14" t="str">
        <x:v>Background / comparison / methods foundation</x:v>
      </x:c>
      <x:c r="I11" s="14" t="str">
        <x:v>1912.03817v3.pdf</x:v>
      </x:c>
      <x:c r="J11" s="14" t="str">
        <x:v>Verified</x:v>
      </x:c>
      <x:c r="K11" s="14" t="str">
        <x:v>Matches corpus ID 68.</x:v>
      </x:c>
    </x:row>
    <x:row r="12">
      <x:c r="A12" s="14" t="n">
        <x:v>64</x:v>
      </x:c>
      <x:c r="B12" s="14" t="str">
        <x:v>INJECAGENT: Benchmarking Indirect Prompt Injections in Tool-Integrated Large Language Model Agents</x:v>
      </x:c>
      <x:c r="C12" s="14" t="str">
        <x:v>Qiusi Zhan et al.</x:v>
      </x:c>
      <x:c r="D12" s="14" t="n">
        <x:v>2024</x:v>
      </x:c>
      <x:c r="E12" s="14" t="str">
        <x:v>Findings of ACL 2024</x:v>
      </x:c>
      <x:c r="F12" s="14" t="str">
        <x:v>Benchmark / adjacent</x:v>
      </x:c>
      <x:c r="G12" s="14" t="str">
        <x:v>A strong benchmark for indirect prompt injection and tool-mediated harm, but it evaluates single-session external-content attacks rather than persistent agent memory. Retain as a baseline for distinguishing transient injection from cross-session memory compromise.</x:v>
      </x:c>
      <x:c r="H12" s="14" t="str">
        <x:v>Background / comparison / methods foundation</x:v>
      </x:c>
      <x:c r="I12" s="14" t="str">
        <x:v>2024.findings-acl.624.pdf</x:v>
      </x:c>
      <x:c r="J12" s="14" t="str">
        <x:v>Verified</x:v>
      </x:c>
      <x:c r="K12" s="14" t="str">
        <x:v>Matches corpus ID 64. Use in background and benchmark comparison, not the core persistent-memory forensic corpus.</x:v>
      </x:c>
    </x:row>
    <x:row r="13">
      <x:c r="A13" s="14" t="n">
        <x:v>63</x:v>
      </x:c>
      <x:c r="B13" s="14" t="str">
        <x:v>AgentDojo: A Dynamic Environment to Evaluate Prompt Injection Attacks and Defenses for LLM Agents</x:v>
      </x:c>
      <x:c r="C13" s="14" t="str">
        <x:v>Edoardo Debenedetti et al.</x:v>
      </x:c>
      <x:c r="D13" s="14" t="n">
        <x:v>2024</x:v>
      </x:c>
      <x:c r="E13" s="14" t="str">
        <x:v>NeurIPS 2024 Datasets and Benchmarks</x:v>
      </x:c>
      <x:c r="F13" s="14" t="str">
        <x:v>Benchmark / adjacent</x:v>
      </x:c>
      <x:c r="G13" s="14" t="str">
        <x:v>Provides realistic stateful tool-use tasks, attacks, defenses, and utility-security metrics, but is not designed around cross-session persistent memory. Useful as a transient-agent security baseline.</x:v>
      </x:c>
      <x:c r="H13" s="14" t="str">
        <x:v>Background / comparison / methods foundation</x:v>
      </x:c>
      <x:c r="I13" s="14" t="str">
        <x:v>2406.13352v3.pdf</x:v>
      </x:c>
      <x:c r="J13" s="14" t="str">
        <x:v>Verified</x:v>
      </x:c>
      <x:c r="K13" s="14" t="str">
        <x:v>Matches corpus ID 63. Keep outside the core primary corpus unless used only for benchmark contrast.</x:v>
      </x:c>
    </x:row>
    <x:row r="14">
      <x:c r="A14" s="14" t="n">
        <x:v>58</x:v>
      </x:c>
      <x:c r="B14" s="14" t="str">
        <x:v>MemBench: Towards More Comprehensive Evaluation on the Memory of LLM-Based Agents</x:v>
      </x:c>
      <x:c r="C14" s="14" t="str">
        <x:v>Haoran Tan et al.</x:v>
      </x:c>
      <x:c r="D14" s="14" t="n">
        <x:v>2025</x:v>
      </x:c>
      <x:c r="E14" s="14" t="str">
        <x:v>Findings of ACL 2025</x:v>
      </x:c>
      <x:c r="F14" s="14" t="str">
        <x:v>Benchmark / capability</x:v>
      </x:c>
      <x:c r="G14" s="14" t="str">
        <x:v>Evaluates factual and reflective memory across participation and observation scenarios. Useful as a capability benchmark substrate, but it does not directly evaluate security, forensics, or recovery.</x:v>
      </x:c>
      <x:c r="H14" s="14" t="str">
        <x:v>Background / comparison / methods foundation</x:v>
      </x:c>
      <x:c r="I14" s="14" t="str">
        <x:v>2025.findings-acl.989.pdf</x:v>
      </x:c>
      <x:c r="J14" s="14" t="str">
        <x:v>Verified</x:v>
      </x:c>
      <x:c r="K14" s="14" t="str">
        <x:v>Matches corpus ID 58. Retain in the benchmark landscape rather than the core forensic-evidence synthesis.</x:v>
      </x:c>
    </x:row>
    <x:row r="15">
      <x:c r="A15" s="14" t="n">
        <x:v>57</x:v>
      </x:c>
      <x:c r="B15" s="14" t="str">
        <x:v>LongMemEval: Benchmarking Chat Assistants on Long-Term Interactive Memory</x:v>
      </x:c>
      <x:c r="C15" s="14" t="str">
        <x:v>Di Wu et al.</x:v>
      </x:c>
      <x:c r="D15" s="14" t="n">
        <x:v>2025</x:v>
      </x:c>
      <x:c r="E15" s="14" t="str">
        <x:v>ICLR 2025</x:v>
      </x:c>
      <x:c r="F15" s="14" t="str">
        <x:v>Benchmark / capability</x:v>
      </x:c>
      <x:c r="G15" s="14" t="str">
        <x:v>Foundational long-term memory benchmark covering extraction, multi-session reasoning, temporal reasoning, updates, and abstention. Useful for showing what capability benchmarks omit about forensic evidence and recovery.</x:v>
      </x:c>
      <x:c r="H15" s="14" t="str">
        <x:v>Background / comparison / methods foundation</x:v>
      </x:c>
      <x:c r="I15" s="14" t="str">
        <x:v>2410.10813v2.pdf</x:v>
      </x:c>
      <x:c r="J15" s="14" t="str">
        <x:v>Verified</x:v>
      </x:c>
      <x:c r="K15" s="14" t="str">
        <x:v>Matches corpus ID 57.</x:v>
      </x:c>
    </x:row>
    <x:row r="16">
      <x:c r="A16" s="14" t="n">
        <x:v>56</x:v>
      </x:c>
      <x:c r="B16" s="14" t="str">
        <x:v>When Machine Unlearning Meets Retrieval-Augmented Generation (RAG): Keep Secret or Forget Knowledge?</x:v>
      </x:c>
      <x:c r="C16" s="14" t="str">
        <x:v>Shang Wang et al.</x:v>
      </x:c>
      <x:c r="D16" s="14" t="n">
        <x:v>2025</x:v>
      </x:c>
      <x:c r="E16" s="14" t="str">
        <x:v>arXiv preprint</x:v>
      </x:c>
      <x:c r="F16" s="14" t="str">
        <x:v>Defense / adjacent</x:v>
      </x:c>
      <x:c r="G16" s="14" t="str">
        <x:v>RAG-based behavioral unlearning is useful for recovery and reappearance discussions, but the paper primarily modifies a static knowledge base rather than an agent-written persistent memory system.</x:v>
      </x:c>
      <x:c r="H16" s="14" t="str">
        <x:v>Background / comparison / methods foundation</x:v>
      </x:c>
      <x:c r="I16" s="14" t="str">
        <x:v>2410.15267v2.pdf</x:v>
      </x:c>
      <x:c r="J16" s="14" t="str">
        <x:v>Verified</x:v>
      </x:c>
      <x:c r="K16" s="14" t="str">
        <x:v>Matches corpus ID 56. Use as adjacent recovery literature, not a core persistent-memory-agent study.</x:v>
      </x:c>
    </x:row>
    <x:row r="17">
      <x:c r="A17" s="14" t="n">
        <x:v>52</x:v>
      </x:c>
      <x:c r="B17" s="14" t="str">
        <x:v>Traceback of Poisoning Attacks to Retrieval-Augmented Generation</x:v>
      </x:c>
      <x:c r="C17" s="14" t="str">
        <x:v>Baolei Zhang et al.</x:v>
      </x:c>
      <x:c r="D17" s="14" t="n">
        <x:v>2025</x:v>
      </x:c>
      <x:c r="E17" s="14" t="str">
        <x:v>ACM Web Conference 2025</x:v>
      </x:c>
      <x:c r="F17" s="14" t="str">
        <x:v>Defense / traceback</x:v>
      </x:c>
      <x:c r="G17" s="14" t="str">
        <x:v>Important post-hoc traceback method that identifies poisoned RAG texts, but it targets a static knowledge database rather than agent-written persistent memory. Use as a forensic-method anchor and comparator.</x:v>
      </x:c>
      <x:c r="H17" s="14" t="str">
        <x:v>Background / comparison / methods foundation</x:v>
      </x:c>
      <x:c r="I17" s="14" t="str">
        <x:v>2504.21668v2.pdf</x:v>
      </x:c>
      <x:c r="J17" s="14" t="str">
        <x:v>Verified</x:v>
      </x:c>
      <x:c r="K17" s="14" t="str">
        <x:v>Matches corpus ID 52. DOI 10.1145/3696410.3714756.</x:v>
      </x:c>
    </x:row>
    <x:row r="18">
      <x:c r="A18" s="14" t="n">
        <x:v>51</x:v>
      </x:c>
      <x:c r="B18" s="14" t="str">
        <x:v>BlindGuard: Safeguarding LLM-Based Multi-Agent Systems under Unknown Attacks</x:v>
      </x:c>
      <x:c r="C18" s="14" t="str">
        <x:v>Rui Miao et al.</x:v>
      </x:c>
      <x:c r="D18" s="14" t="n">
        <x:v>2026</x:v>
      </x:c>
      <x:c r="E18" s="14" t="str">
        <x:v>arXiv preprint</x:v>
      </x:c>
      <x:c r="F18" s="14" t="str">
        <x:v>Defense / multi-agent</x:v>
      </x:c>
      <x:c r="G18" s="14" t="str">
        <x:v>Unsupervised graph anomaly detection for malicious-agent propagation, including memory-poisoning attack settings. Useful for blast-radius and contagion detection, but not a persistent-memory-specific system.</x:v>
      </x:c>
      <x:c r="H18" s="14" t="str">
        <x:v>Background / comparison / methods foundation</x:v>
      </x:c>
      <x:c r="I18" s="14" t="str">
        <x:v>2508.08127v2.pdf</x:v>
      </x:c>
      <x:c r="J18" s="14" t="str">
        <x:v>Verified</x:v>
      </x:c>
      <x:c r="K18" s="14" t="str">
        <x:v>Matches corpus ID 51. Uploaded revision is dated April 2026; update year/status from the PDF.</x:v>
      </x:c>
    </x:row>
    <x:row r="19">
      <x:c r="A19" s="14" t="n">
        <x:v>49</x:v>
      </x:c>
      <x:c r="B19" s="14" t="str">
        <x:v>ISOLATEGPT: An Execution Isolation Architecture for LLM-Based Agentic Systems</x:v>
      </x:c>
      <x:c r="C19" s="14" t="str">
        <x:v>Yuhao Wu et al.</x:v>
      </x:c>
      <x:c r="D19" s="14" t="n">
        <x:v>2025</x:v>
      </x:c>
      <x:c r="E19" s="14" t="str">
        <x:v>NDSS 2025</x:v>
      </x:c>
      <x:c r="F19" s="14" t="str">
        <x:v>Defense / architecture</x:v>
      </x:c>
      <x:c r="G19" s="14" t="str">
        <x:v>Strong execution-isolation and containment architecture for agent apps. It secures context and inter-app collaboration, but is not centred on persistent memory or post-incident reconstruction.</x:v>
      </x:c>
      <x:c r="H19" s="14" t="str">
        <x:v>Background / comparison / methods foundation</x:v>
      </x:c>
      <x:c r="I19" s="14" t="str">
        <x:v>2403.04960v2.pdf</x:v>
      </x:c>
      <x:c r="J19" s="14" t="str">
        <x:v>Verified</x:v>
      </x:c>
      <x:c r="K19" s="14" t="str">
        <x:v>Matches corpus ID 49. Use for containment and isolation background.</x:v>
      </x:c>
    </x:row>
    <x:row r="20">
      <x:c r="A20" s="14" t="n">
        <x:v>48</x:v>
      </x:c>
      <x:c r="B20" s="14" t="str">
        <x:v>Progent: Securing AI Agents with Privilege Control</x:v>
      </x:c>
      <x:c r="C20" s="14" t="str">
        <x:v>Tianneng Shi et al.</x:v>
      </x:c>
      <x:c r="D20" s="14" t="n">
        <x:v>2026</x:v>
      </x:c>
      <x:c r="E20" s="14" t="str">
        <x:v>arXiv preprint</x:v>
      </x:c>
      <x:c r="F20" s="14" t="str">
        <x:v>Defense / privilege control</x:v>
      </x:c>
      <x:c r="G20" s="14" t="str">
        <x:v>Deterministic least-privilege enforcement over tool calls and arguments with monotonic confinement. Highly relevant to action-authority control, but not a persistent-memory-specific study.</x:v>
      </x:c>
      <x:c r="H20" s="14" t="str">
        <x:v>Background / comparison / methods foundation</x:v>
      </x:c>
      <x:c r="I20" s="14" t="str">
        <x:v>2504.11703v3.pdf</x:v>
      </x:c>
      <x:c r="J20" s="14" t="str">
        <x:v>Verified</x:v>
      </x:c>
      <x:c r="K20" s="14" t="str">
        <x:v>Matches corpus ID 48. Uploaded revision is May 2026; update year/status accordingly.</x:v>
      </x:c>
    </x:row>
    <x:row r="21">
      <x:c r="A21" s="14" t="n">
        <x:v>47</x:v>
      </x:c>
      <x:c r="B21" s="14" t="str">
        <x:v>Securing AI Agents with Information-Flow Control</x:v>
      </x:c>
      <x:c r="C21" s="14" t="str">
        <x:v>Manuel Costa et al.</x:v>
      </x:c>
      <x:c r="D21" s="14" t="n">
        <x:v>2025</x:v>
      </x:c>
      <x:c r="E21" s="14" t="str">
        <x:v>arXiv preprint</x:v>
      </x:c>
      <x:c r="F21" s="14" t="str">
        <x:v>Defense / information-flow control</x:v>
      </x:c>
      <x:c r="G21" s="14" t="str">
        <x:v>Formal IFC model and FIDES planner provide deterministic integrity/confidentiality policies and policy traces. Relevant to authority and evidence design, but not focused on cross-session persistent memory.</x:v>
      </x:c>
      <x:c r="H21" s="14" t="str">
        <x:v>Background / comparison / methods foundation</x:v>
      </x:c>
      <x:c r="I21" s="14" t="str">
        <x:v>2505.23643v2.pdf</x:v>
      </x:c>
      <x:c r="J21" s="14" t="str">
        <x:v>Verified</x:v>
      </x:c>
      <x:c r="K21" s="14" t="str">
        <x:v>Matches corpus ID 47. Use as a system-level control and provenance foundation.</x:v>
      </x:c>
    </x:row>
    <x:row r="22">
      <x:c r="A22" s="14" t="n">
        <x:v>46</x:v>
      </x:c>
      <x:c r="B22" s="14" t="str">
        <x:v>Defeating Prompt Injections by Design</x:v>
      </x:c>
      <x:c r="C22" s="14" t="str">
        <x:v>Edoardo Debenedetti et al.</x:v>
      </x:c>
      <x:c r="D22" s="14" t="n">
        <x:v>2025</x:v>
      </x:c>
      <x:c r="E22" s="14" t="str">
        <x:v>arXiv preprint</x:v>
      </x:c>
      <x:c r="F22" s="14" t="str">
        <x:v>Defense / capability control</x:v>
      </x:c>
      <x:c r="G22" s="14" t="str">
        <x:v>CaMeL separates trusted control flow from untrusted data flow and tracks provenance/capabilities. Valuable for memory-to-action policy design, but evaluated on transient prompt injection rather than persistent memory.</x:v>
      </x:c>
      <x:c r="H22" s="14" t="str">
        <x:v>Background / comparison / methods foundation</x:v>
      </x:c>
      <x:c r="I22" s="14" t="str">
        <x:v>2503.18813v2.pdf</x:v>
      </x:c>
      <x:c r="J22" s="14" t="str">
        <x:v>Verified</x:v>
      </x:c>
      <x:c r="K22" s="14" t="str">
        <x:v>Matches corpus ID 46. Use as adjacent prevention and evidentiary-control literature.</x:v>
      </x:c>
    </x:row>
    <x:row r="23">
      <x:c r="A23" s="14" t="n">
        <x:v>45</x:v>
      </x:c>
      <x:c r="B23" s="14" t="str">
        <x:v>RevPRAG: Revealing Poisoning Attacks in Retrieval-Augmented Generation through LLM Activation Analysis</x:v>
      </x:c>
      <x:c r="C23" s="14" t="str">
        <x:v>Xue Tan et al.</x:v>
      </x:c>
      <x:c r="D23" s="14" t="n">
        <x:v>2025</x:v>
      </x:c>
      <x:c r="E23" s="14" t="str">
        <x:v>Findings of EMNLP 2025</x:v>
      </x:c>
      <x:c r="F23" s="14" t="str">
        <x:v>Defense / detection</x:v>
      </x:c>
      <x:c r="G23" s="14" t="str">
        <x:v>Detects poisoned RAG responses using internal activation patterns with high reported TPR and low FPR. Useful as adjacent detection literature, but not agent-written persistent memory or forensic traceback.</x:v>
      </x:c>
      <x:c r="H23" s="14" t="str">
        <x:v>Background / comparison / methods foundation</x:v>
      </x:c>
      <x:c r="I23" s="14" t="str">
        <x:v>2025.findings-emnlp.698.pdf</x:v>
      </x:c>
      <x:c r="J23" s="14" t="str">
        <x:v>Verified</x:v>
      </x:c>
      <x:c r="K23" s="14" t="str">
        <x:v>Matches corpus ID 45.</x:v>
      </x:c>
    </x:row>
    <x:row r="24">
      <x:c r="A24" s="14" t="n">
        <x:v>44</x:v>
      </x:c>
      <x:c r="B24" s="14" t="str">
        <x:v>SeCon-RAG: A Two-Stage Semantic Filtering and Conflict-Free Framework for Trustworthy RAG</x:v>
      </x:c>
      <x:c r="C24" s="14" t="str">
        <x:v>Xiaonan Si et al.</x:v>
      </x:c>
      <x:c r="D24" s="14" t="n">
        <x:v>2025</x:v>
      </x:c>
      <x:c r="E24" s="14" t="str">
        <x:v>NeurIPS 2025</x:v>
      </x:c>
      <x:c r="F24" s="14" t="str">
        <x:v>Defense / RAG</x:v>
      </x:c>
      <x:c r="G24" s="14" t="str">
        <x:v>Two-stage semantic and conflict-aware filtering for poisoned RAG corpora. Useful as an adjacent retrieval-stage defense, but it does not study agent-written persistent memory or post-incident forensics.</x:v>
      </x:c>
      <x:c r="H24" s="14" t="str">
        <x:v>Background / comparison / methods foundation</x:v>
      </x:c>
      <x:c r="I24" s="14" t="str">
        <x:v>NeurIPS-2025-secon-rag-a-two-stage-semantic-filtering-and-conflict-free-framework-for-trustworthy-rag-Paper-Conference.pdf</x:v>
      </x:c>
      <x:c r="J24" s="14" t="str">
        <x:v>Verified</x:v>
      </x:c>
      <x:c r="K24" s="14" t="str">
        <x:v>Matches corpus ID 44.</x:v>
      </x:c>
    </x:row>
    <x:row r="25">
      <x:c r="A25" s="14" t="n">
        <x:v>43</x:v>
      </x:c>
      <x:c r="B25" s="14" t="str">
        <x:v>TrustRAG: Enhancing Robustness and Trustworthiness in Retrieval-Augmented Generation</x:v>
      </x:c>
      <x:c r="C25" s="14" t="str">
        <x:v>Huichi Zhou et al.</x:v>
      </x:c>
      <x:c r="D25" s="14" t="n">
        <x:v>2025</x:v>
      </x:c>
      <x:c r="E25" s="14" t="str">
        <x:v>arXiv preprint</x:v>
      </x:c>
      <x:c r="F25" s="14" t="str">
        <x:v>Defense / RAG</x:v>
      </x:c>
      <x:c r="G25" s="14" t="str">
        <x:v>Cluster filtering and LLM self-assessment mitigate static-corpus poisoning. Useful for retrieval-stage comparison, but outside the core persistent-memory forensic corpus.</x:v>
      </x:c>
      <x:c r="H25" s="14" t="str">
        <x:v>Background / comparison / methods foundation</x:v>
      </x:c>
      <x:c r="I25" s="14" t="str">
        <x:v>2501.00879v3.pdf</x:v>
      </x:c>
      <x:c r="J25" s="14" t="str">
        <x:v>Verified</x:v>
      </x:c>
      <x:c r="K25" s="14" t="str">
        <x:v>Matches corpus ID 43.</x:v>
      </x:c>
    </x:row>
    <x:row r="26">
      <x:c r="A26" s="14" t="n">
        <x:v>41</x:v>
      </x:c>
      <x:c r="B26" s="14" t="str">
        <x:v>Certifiably Robust RAG against Retrieval Corruption</x:v>
      </x:c>
      <x:c r="C26" s="14" t="str">
        <x:v>Chong Xiang et al.</x:v>
      </x:c>
      <x:c r="D26" s="14" t="n">
        <x:v>2026</x:v>
      </x:c>
      <x:c r="E26" s="14" t="str">
        <x:v>arXiv / IEEE SaTML version to verify</x:v>
      </x:c>
      <x:c r="F26" s="14" t="str">
        <x:v>Defense / RAG</x:v>
      </x:c>
      <x:c r="G26" s="14" t="str">
        <x:v>Certifiable isolate-then-aggregate defense against bounded retrieval corruption. Strong theoretical comparator, but focused on static retrieved passages rather than persistent agent memory.</x:v>
      </x:c>
      <x:c r="H26" s="14" t="str">
        <x:v>Background / comparison / methods foundation</x:v>
      </x:c>
      <x:c r="I26" s="14" t="str">
        <x:v>2405.15556v2.pdf</x:v>
      </x:c>
      <x:c r="J26" s="14" t="str">
        <x:v>Verified</x:v>
      </x:c>
      <x:c r="K26" s="14" t="str">
        <x:v>Matches corpus ID 41. Verify official SaTML 2026 publication metadata before final citation.</x:v>
      </x:c>
    </x:row>
    <x:row r="27">
      <x:c r="A27" s="14" t="n">
        <x:v>28</x:v>
      </x:c>
      <x:c r="B27" s="14" t="str">
        <x:v>“Ghost of the Past”: Identifying and Resolving Privacy Leakage of LLM’s Memor...</x:v>
      </x:c>
      <x:c r="C27" s="14" t="str">
        <x:v>Shuning Zhang et al.</x:v>
      </x:c>
      <x:c r="D27" s="14" t="n">
        <x:v>2023</x:v>
      </x:c>
      <x:c r="E27" s="14" t="str">
        <x:v>CHI 2023</x:v>
      </x:c>
      <x:c r="F27" s="14" t="str">
        <x:v>Privacy / human factors</x:v>
      </x:c>
      <x:c r="G27" s="14" t="str">
        <x:v>Studies user awareness, visualization, and management of sensitive informatio...</x:v>
      </x:c>
      <x:c r="H27" s="14" t="str">
        <x:v>Background / comparison / methods foundation</x:v>
      </x:c>
      <x:c r="I27" s="14" t="str">
        <x:v>2410.14931v1.pdf</x:v>
      </x:c>
      <x:c r="J27" s="14" t="str">
        <x:v>Verified</x:v>
      </x:c>
      <x:c r="K27" s="14" t="str">
        <x:v>Matches corpus ID 28. Correct citation year is 2023; arXiv upload occurred in...</x:v>
      </x:c>
    </x:row>
    <x:row r="28">
      <x:c r="A28" s="14" t="n">
        <x:v>27</x:v>
      </x:c>
      <x:c r="B28" s="14" t="str">
        <x:v>Here Comes the AI Worm: Unleashing Zero-Click Worms that Target GenAI-Powered...</x:v>
      </x:c>
      <x:c r="C28" s="14" t="str">
        <x:v>Stav Cohen et al.</x:v>
      </x:c>
      <x:c r="D28" s="14" t="n">
        <x:v>2025</x:v>
      </x:c>
      <x:c r="E28" s="14" t="str">
        <x:v>arXiv / venue metadata to verify</x:v>
      </x:c>
      <x:c r="F28" s="14" t="str">
        <x:v>Attack / propagation</x:v>
      </x:c>
      <x:c r="G28" s="14" t="str">
        <x:v>Demonstrates self-replicating prompts that persist through RAG-based applicat...</x:v>
      </x:c>
      <x:c r="H28" s="14" t="str">
        <x:v>Background / comparison / methods foundation</x:v>
      </x:c>
      <x:c r="I28" s="14" t="str">
        <x:v>2403.02817v2.pdf</x:v>
      </x:c>
      <x:c r="J28" s="14" t="str">
        <x:v>Verified</x:v>
      </x:c>
      <x:c r="K28" s="14" t="str">
        <x:v>Matches corpus ID 27. Use as an ecosystem-level propagation comparator.</x:v>
      </x:c>
    </x:row>
    <x:row r="29">
      <x:c r="A29" s="14" t="n">
        <x:v>25</x:v>
      </x:c>
      <x:c r="B29" s="14" t="str">
        <x:v>PoisonedRAG: Knowledge Corruption Attacks to Retrieval-Augmented Generation o...</x:v>
      </x:c>
      <x:c r="C29" s="14" t="str">
        <x:v>Wei Zou et al.</x:v>
      </x:c>
      <x:c r="D29" s="14" t="n">
        <x:v>2024</x:v>
      </x:c>
      <x:c r="E29" s="14" t="str">
        <x:v>USENIX Security publication metadata to verify</x:v>
      </x:c>
      <x:c r="F29" s="14" t="str">
        <x:v>Attack / static RAG</x:v>
      </x:c>
      <x:c r="G29" s="14" t="str">
        <x:v>Canonical static knowledge-base poisoning attack. Retain as a contrast showin...</x:v>
      </x:c>
      <x:c r="H29" s="14" t="str">
        <x:v>Background / comparison / methods foundation</x:v>
      </x:c>
      <x:c r="I29" s="14" t="str">
        <x:v>sec24winter-prepub-1468-zou.pdf</x:v>
      </x:c>
      <x:c r="J29" s="14" t="str">
        <x:v>Verified</x:v>
      </x:c>
      <x:c r="K29" s="14" t="str">
        <x:v>Matches corpus ID 25. Verify final USENIX year, proceedings title, and pages ...</x:v>
      </x:c>
    </x:row>
    <x:row r="30">
      <x:c r="A30" s="14" t="n">
        <x:v>23</x:v>
      </x:c>
      <x:c r="B30" s="14" t="str">
        <x:v>SKILL-INJECT: Measuring Agent Vulnerability to Skill File Attacks</x:v>
      </x:c>
      <x:c r="C30" s="14" t="str">
        <x:v>David Schmotz et al.</x:v>
      </x:c>
      <x:c r="D30" s="14" t="n">
        <x:v>2026</x:v>
      </x:c>
      <x:c r="E30" s="14" t="str">
        <x:v>arXiv preprint</x:v>
      </x:c>
      <x:c r="F30" s="14" t="str">
        <x:v>Attack / persistent skill files</x:v>
      </x:c>
      <x:c r="G30" s="14" t="str">
        <x:v>Evaluates malicious instructions embedded in persistent skill files. Relevant...</x:v>
      </x:c>
      <x:c r="H30" s="14" t="str">
        <x:v>Background / comparison / methods foundation</x:v>
      </x:c>
      <x:c r="I30" s="14" t="str">
        <x:v>2602.20156v3.pdf</x:v>
      </x:c>
      <x:c r="J30" s="14" t="str">
        <x:v>Verified</x:v>
      </x:c>
      <x:c r="K30" s="14" t="str">
        <x:v>Matches corpus ID 23. Use as adjacent procedural-persistence evidence.</x:v>
      </x:c>
    </x:row>
    <x:row r="31">
      <x:c r="A31" s="14" t="n">
        <x:v>9</x:v>
      </x:c>
      <x:c r="B31" s="14" t="str">
        <x:v>From Storage to Experience: A Survey on the Evolution of LLM Agent Memory Mechanisms</x:v>
      </x:c>
      <x:c r="C31" s="14" t="str">
        <x:v>Jinghao Luo et al.</x:v>
      </x:c>
      <x:c r="D31" s="14" t="n">
        <x:v>2026</x:v>
      </x:c>
      <x:c r="E31" s="14" t="str">
        <x:v>arXiv preprint</x:v>
      </x:c>
      <x:c r="F31" s="14" t="str">
        <x:v>Survey / memory mechanisms</x:v>
      </x:c>
      <x:c r="G31" s="14" t="str">
        <x:v>Capability-oriented survey of storage, reflection, and experience stages in agent memory. Useful for architectural foundations and terminology, but not part of the primary forensic corpus.</x:v>
      </x:c>
      <x:c r="H31" s="14" t="str">
        <x:v>Background / comparison / methods foundation</x:v>
      </x:c>
      <x:c r="I31" s="14" t="str">
        <x:v>2605.06716v1.pdf</x:v>
      </x:c>
      <x:c r="J31" s="14" t="str">
        <x:v>Verified</x:v>
      </x:c>
      <x:c r="K31" s="14" t="str">
        <x:v>Matches corpus ID 9. Use to support the background taxonomy of memory evolution and mechanisms.</x:v>
      </x:c>
    </x:row>
    <x:row r="32">
      <x:c r="A32" s="14" t="n">
        <x:v>8</x:v>
      </x:c>
      <x:c r="B32" s="14" t="str">
        <x:v>AI Meets Brain: A Unified Survey on Memory Systems from Cognitive Neuroscience to Autonomous Agents</x:v>
      </x:c>
      <x:c r="C32" s="14" t="str">
        <x:v>Jiafeng Liang et al.</x:v>
      </x:c>
      <x:c r="D32" s="14" t="n">
        <x:v>2025</x:v>
      </x:c>
      <x:c r="E32" s="14" t="str">
        <x:v>arXiv preprint / ACM-style manuscript</x:v>
      </x:c>
      <x:c r="F32" s="14" t="str">
        <x:v>Survey / memory foundations</x:v>
      </x:c>
      <x:c r="G32" s="14" t="str">
        <x:v>Broad interdisciplinary survey connecting cognitive neuroscience and agent memory, including taxonomy, lifecycle, benchmarks, and a limited security section. Useful for foundational definitions, but not primary evidence.</x:v>
      </x:c>
      <x:c r="H32" s="14" t="str">
        <x:v>Background / comparison / methods foundation</x:v>
      </x:c>
      <x:c r="I32" s="14" t="str">
        <x:v>2512.23343v1.pdf</x:v>
      </x:c>
      <x:c r="J32" s="14" t="str">
        <x:v>Verified</x:v>
      </x:c>
      <x:c r="K32" s="14" t="str">
        <x:v>Matches corpus ID 8. Use in the background and related-survey comparison.</x:v>
      </x:c>
    </x:row>
    <x:row r="33">
      <x:c r="A33" s="14" t="n">
        <x:v>7</x:v>
      </x:c>
      <x:c r="B33" s="14" t="str">
        <x:v>Security of LLM-Based Agents Regarding Attacks, Defenses, and Applications: A Comprehensive Survey</x:v>
      </x:c>
      <x:c r="C33" s="14" t="str">
        <x:v>Yaxin Tang et al.</x:v>
      </x:c>
      <x:c r="D33" s="14" t="n">
        <x:v>2026</x:v>
      </x:c>
      <x:c r="E33" s="14" t="str">
        <x:v>Information Fusion 127 (2026) 103941</x:v>
      </x:c>
      <x:c r="F33" s="14" t="str">
        <x:v>Survey / broad agent security</x:v>
      </x:c>
      <x:c r="G33" s="14" t="str">
        <x:v>Peer-reviewed broad survey of attacks, defenses, and security applications of LLM agents. Memory poisoning is one component, so it provides broader-but-shallower positioning.</x:v>
      </x:c>
      <x:c r="H33" s="14" t="str">
        <x:v>Background / comparison / methods foundation</x:v>
      </x:c>
      <x:c r="I33" s="14" t="str">
        <x:v>1-s2.0-S1566253525010036-main.pdf</x:v>
      </x:c>
      <x:c r="J33" s="14" t="str">
        <x:v>Verified</x:v>
      </x:c>
      <x:c r="K33" s="14" t="str">
        <x:v>Matches corpus ID 7. DOI 10.1016/j.inffus.2025.103941; official journal metadata verified from the uploaded publisher PDF.</x:v>
      </x:c>
    </x:row>
    <x:row r="34">
      <x:c r="A34" s="14" t="n">
        <x:v>6</x:v>
      </x:c>
      <x:c r="B34" s="14" t="str">
        <x:v>Towards Secure Retrieval-Augmented Generation: A Comprehensive Review of Threats, Defenses and Benchmarks</x:v>
      </x:c>
      <x:c r="C34" s="14" t="str">
        <x:v>Yanming Mu et al.</x:v>
      </x:c>
      <x:c r="D34" s="14" t="n">
        <x:v>2026</x:v>
      </x:c>
      <x:c r="E34" s="14" t="str">
        <x:v>arXiv preprint</x:v>
      </x:c>
      <x:c r="F34" s="14" t="str">
        <x:v>Survey / RAG security</x:v>
      </x:c>
      <x:c r="G34" s="14" t="str">
        <x:v>Comprehensive static-RAG security survey covering poisoning, privacy, defenses, and benchmarks. Important for explicitly distinguishing persistent agent memory from operator-curated retrieval corpora.</x:v>
      </x:c>
      <x:c r="H34" s="14" t="str">
        <x:v>Background / comparison / methods foundation</x:v>
      </x:c>
      <x:c r="I34" s="14" t="str">
        <x:v>2603.21654v1.pdf</x:v>
      </x:c>
      <x:c r="J34" s="14" t="str">
        <x:v>Verified</x:v>
      </x:c>
      <x:c r="K34" s="14" t="str">
        <x:v>Matches corpus ID 6. Use as adjacent-survey evidence only.</x:v>
      </x:c>
    </x:row>
    <x:row r="35">
      <x:c r="A35" s="14" t="n">
        <x:v>5</x:v>
      </x:c>
      <x:c r="B35" s="14" t="str">
        <x:v>A Survey on the Memory Mechanism of Large Language Model Based Agents</x:v>
      </x:c>
      <x:c r="C35" s="14" t="str">
        <x:v>Zeyu Zhang et al.</x:v>
      </x:c>
      <x:c r="D35" s="14" t="n">
        <x:v>2024</x:v>
      </x:c>
      <x:c r="E35" s="14" t="str">
        <x:v>arXiv preprint / ACM TOIS version available</x:v>
      </x:c>
      <x:c r="F35" s="14" t="str">
        <x:v>Survey / memory mechanisms</x:v>
      </x:c>
      <x:c r="G35" s="14" t="str">
        <x:v>Canonical memory-mechanism survey covering definitions, design, evaluation, and applications. It provides the architectural baseline that the forensic survey extends.</x:v>
      </x:c>
      <x:c r="H35" s="14" t="str">
        <x:v>Background / comparison / methods foundation</x:v>
      </x:c>
      <x:c r="I35" s="14" t="str">
        <x:v>2404.13501v1.pdf</x:v>
      </x:c>
      <x:c r="J35" s="14" t="str">
        <x:v>Verified</x:v>
      </x:c>
      <x:c r="K35" s="14" t="str">
        <x:v>Matches corpus ID 5. Cite the peer-reviewed ACM TOIS version when bibliographic metadata is finalised.</x:v>
      </x:c>
    </x:row>
    <x:row r="36">
      <x:c r="A36" s="14" t="n">
        <x:v>4</x:v>
      </x:c>
      <x:c r="B36" s="14" t="str">
        <x:v>Memory in the Age of AI Agents: A Survey—Forms, Functions and Dynamics</x:v>
      </x:c>
      <x:c r="C36" s="14" t="str">
        <x:v>Yuyang Hu et al.</x:v>
      </x:c>
      <x:c r="D36" s="14" t="n">
        <x:v>2026</x:v>
      </x:c>
      <x:c r="E36" s="14" t="str">
        <x:v>arXiv preprint</x:v>
      </x:c>
      <x:c r="F36" s="14" t="str">
        <x:v>Survey / agent memory</x:v>
      </x:c>
      <x:c r="G36" s="14" t="str">
        <x:v>Large general survey distinguishing agent memory from LLM memory, RAG, and context engineering, and organising memory by forms, functions, and dynamics. Central background comparator.</x:v>
      </x:c>
      <x:c r="H36" s="14" t="str">
        <x:v>Background / comparison / methods foundation</x:v>
      </x:c>
      <x:c r="I36" s="14" t="str">
        <x:v>2512.13564v2.pdf</x:v>
      </x:c>
      <x:c r="J36" s="14" t="str">
        <x:v>Verified</x:v>
      </x:c>
      <x:c r="K36" s="14" t="str">
        <x:v>Matches corpus ID 4. Uploaded revision is dated January 2026; update corpus year accordingly.</x:v>
      </x:c>
    </x:row>
    <x:row r="37">
      <x:c r="A37" s="14" t="n">
        <x:v>3</x:v>
      </x:c>
      <x:c r="B37" s="14" t="str">
        <x:v>Always-On Agents: A Survey of Persistent Memory, State, and Governance in LLM Agents</x:v>
      </x:c>
      <x:c r="C37" s="14" t="str">
        <x:v>Tianyu Ding et al.</x:v>
      </x:c>
      <x:c r="D37" s="14" t="n">
        <x:v>2026</x:v>
      </x:c>
      <x:c r="E37" s="14" t="str">
        <x:v>arXiv preprint</x:v>
      </x:c>
      <x:c r="F37" s="14" t="str">
        <x:v>Survey / persistent state and governance</x:v>
      </x:c>
      <x:c r="G37" s="14" t="str">
        <x:v>Close survey on persistent state, authority, scope, mutability, provenance, recoverability, actionability, lifecycle governance, and rollback. It overlaps with governance and recovery but not with the proposed forensic incident-reconstruction focus.</x:v>
      </x:c>
      <x:c r="H37" s="14" t="str">
        <x:v>Background / comparison / methods foundation</x:v>
      </x:c>
      <x:c r="I37" s="14" t="str">
        <x:v>2606.30306v1.pdf</x:v>
      </x:c>
      <x:c r="J37" s="14" t="str">
        <x:v>Verified</x:v>
      </x:c>
      <x:c r="K37" s="14" t="str">
        <x:v>Matches corpus ID 3. Must be included in the direct comparison table and novelty discussion.</x:v>
      </x:c>
    </x:row>
    <x:row r="38">
      <x:c r="A38" s="14" t="n">
        <x:v>2</x:v>
      </x:c>
      <x:c r="B38" s="14" t="str">
        <x:v>From Agent Traces to Trust: A Survey of Evidence Tracing and Execution Provenance in LLM Agents</x:v>
      </x:c>
      <x:c r="C38" s="14" t="str">
        <x:v>Yiqi Wang et al.</x:v>
      </x:c>
      <x:c r="D38" s="14" t="n">
        <x:v>2026</x:v>
      </x:c>
      <x:c r="E38" s="14" t="str">
        <x:v>arXiv preprint</x:v>
      </x:c>
      <x:c r="F38" s="14" t="str">
        <x:v>Survey / execution provenance</x:v>
      </x:c>
      <x:c r="G38" s="14" t="str">
        <x:v>Closest provenance-oriented survey, covering evidence tracing, execution graphs, memory provenance, audit, diagnosis, and recovery. The present survey must distinguish persistent-memory incidents, causal confidence, blast radius, anti-forensics, and recovery completeness.</x:v>
      </x:c>
      <x:c r="H38" s="14" t="str">
        <x:v>Background / comparison / methods foundation</x:v>
      </x:c>
      <x:c r="I38" s="14" t="str">
        <x:v>2606.04990v4.pdf</x:v>
      </x:c>
      <x:c r="J38" s="14" t="str">
        <x:v>Verified</x:v>
      </x:c>
      <x:c r="K38" s="14" t="str">
        <x:v>Matches corpus ID 2. Treat as a principal competing survey in the positioning section.</x:v>
      </x:c>
    </x:row>
    <x:row r="39">
      <x:c r="A39" s="14" t="n">
        <x:v>1</x:v>
      </x:c>
      <x:c r="B39" s="14" t="str">
        <x:v>A Survey on Long-Term Memory Security in LLM Agents: Attacks, Defenses, and Governance Across the Memory Lifecycle</x:v>
      </x:c>
      <x:c r="C39" s="14" t="str">
        <x:v>Zehao Lin et al.</x:v>
      </x:c>
      <x:c r="D39" s="14" t="n">
        <x:v>2026</x:v>
      </x:c>
      <x:c r="E39" s="14" t="str">
        <x:v>arXiv preprint</x:v>
      </x:c>
      <x:c r="F39" s="14" t="str">
        <x:v>Survey / LTM security</x:v>
      </x:c>
      <x:c r="G39" s="14" t="str">
        <x:v>Primary competing survey organising attacks and defenses across six memory-lifecycle phases and four security objectives, with Verifiable Memory Governance primitives. It does not centre post-incident evidence sufficiency and causal reconstruction.</x:v>
      </x:c>
      <x:c r="H39" s="14" t="str">
        <x:v>Background / comparison / methods foundation</x:v>
      </x:c>
      <x:c r="I39" s="14" t="str">
        <x:v>2604.16548v2 (1).pdf</x:v>
      </x:c>
      <x:c r="J39" s="14" t="str">
        <x:v>Verified</x:v>
      </x:c>
      <x:c r="K39" s="14" t="str">
        <x:v>Matches corpus ID 1. Must anchor the overlap and differentiation analysis.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e4db0e771714d7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40" hidden="0" customWidth="1"/>
    <x:col min="4" max="4" width="34" hidden="0" customWidth="1"/>
    <x:col min="5" max="5" width="32" hidden="0" customWidth="1"/>
    <x:col min="6" max="6" width="46" hidden="0" customWidth="1"/>
    <x:col min="7" max="7" width="15" hidden="0" customWidth="1"/>
    <x:col min="8" max="8" width="34" hidden="0" customWidth="1"/>
    <x:col min="9" max="9" width="12" hidden="0" customWidth="1"/>
  </x:cols>
  <x:sheetData>
    <x:row r="1">
      <x:c r="A1" s="4" t="str">
        <x:v>Manuscript Section-to-Evidence Map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20" t="str">
        <x:v>Manuscript section</x:v>
      </x:c>
      <x:c r="B3" s="20" t="str">
        <x:v>Purpose</x:v>
      </x:c>
      <x:c r="C3" s="20" t="str">
        <x:v>Core studies / IDs</x:v>
      </x:c>
      <x:c r="D3" s="20" t="str">
        <x:v>Related surveys / foundations</x:v>
      </x:c>
      <x:c r="E3" s="20" t="str">
        <x:v>Required table or figure</x:v>
      </x:c>
      <x:c r="F3" s="20" t="str">
        <x:v>Quantitative claim to report</x:v>
      </x:c>
      <x:c r="G3" s="20" t="str">
        <x:v>Current evidence status</x:v>
      </x:c>
      <x:c r="H3" s="20" t="str">
        <x:v>Remaining verification</x:v>
      </x:c>
      <x:c r="I3" s="20" t="str">
        <x:v>Priority</x:v>
      </x:c>
    </x:row>
    <x:row r="4">
      <x:c r="A4" s="14" t="str">
        <x:v>Introduction</x:v>
      </x:c>
      <x:c r="B4" s="14" t="str">
        <x:v>Motivate durable-state risk and post-compromise gap</x:v>
      </x:c>
      <x:c r="C4" s="14" t="str">
        <x:v>10, 11, 13, 17, 18, 21</x:v>
      </x:c>
      <x:c r="D4" s="14" t="str">
        <x:v>1, 2, 3, 7</x:v>
      </x:c>
      <x:c r="E4" s="14" t="str">
        <x:v>Motivating incident chain</x:v>
      </x:c>
      <x:c r="F4" s="14" t="str">
        <x:v>Report growth and core-corpus size only after final freeze</x:v>
      </x:c>
      <x:c r="G4" s="14" t="str">
        <x:v>Ready</x:v>
      </x:c>
      <x:c r="H4" s="14" t="str">
        <x:v>Verify final core count and publication status</x:v>
      </x:c>
      <x:c r="I4" s="14" t="str">
        <x:v>High</x:v>
      </x:c>
    </x:row>
    <x:row r="5">
      <x:c r="A5" s="14" t="str">
        <x:v>Review Design</x:v>
      </x:c>
      <x:c r="B5" s="14" t="str">
        <x:v>Explain bounded corpus and selection logic</x:v>
      </x:c>
      <x:c r="C5" s="14" t="str">
        <x:v>All 39 core studies</x:v>
      </x:c>
      <x:c r="D5" s="14" t="str">
        <x:v>PRISMA-ScR and survey-method foundations</x:v>
      </x:c>
      <x:c r="E5" s="14" t="str">
        <x:v>Corpus-construction flow</x:v>
      </x:c>
      <x:c r="F5" s="14" t="str">
        <x:v>39 core primary studies; 36 adjacent/background uploaded papers</x:v>
      </x:c>
      <x:c r="G5" s="14" t="str">
        <x:v>Ready</x:v>
      </x:c>
      <x:c r="H5" s="14" t="str">
        <x:v>Add search-source narrative and cut-off date</x:v>
      </x:c>
      <x:c r="I5" s="14" t="str">
        <x:v>High</x:v>
      </x:c>
    </x:row>
    <x:row r="6">
      <x:c r="A6" s="14" t="str">
        <x:v>Memory Foundations</x:v>
      </x:c>
      <x:c r="B6" s="14" t="str">
        <x:v>Define persistent memory, forms and lifecycle</x:v>
      </x:c>
      <x:c r="C6" s="14" t="str">
        <x:v>15, 22, 24, 26, 29, 32, 36</x:v>
      </x:c>
      <x:c r="D6" s="14" t="str">
        <x:v>4, 5, 8, 9</x:v>
      </x:c>
      <x:c r="E6" s="14" t="str">
        <x:v>Memory form × evidence-loss table</x:v>
      </x:c>
      <x:c r="F6" s="14" t="str">
        <x:v>No overbroad security claims</x:v>
      </x:c>
      <x:c r="G6" s="14" t="str">
        <x:v>Ready</x:v>
      </x:c>
      <x:c r="H6" s="14" t="str">
        <x:v>Check terminology consistency</x:v>
      </x:c>
      <x:c r="I6" s="14" t="str">
        <x:v>Medium</x:v>
      </x:c>
    </x:row>
    <x:row r="7">
      <x:c r="A7" s="14" t="str">
        <x:v>Evidence Landscape</x:v>
      </x:c>
      <x:c r="B7" s="14" t="str">
        <x:v>Describe attacks, defences, benchmarks and maturity</x:v>
      </x:c>
      <x:c r="C7" s="14" t="str">
        <x:v>All core studies</x:v>
      </x:c>
      <x:c r="D7" s="14" t="str">
        <x:v>1–9</x:v>
      </x:c>
      <x:c r="E7" s="14" t="str">
        <x:v>Year/type/status charts</x:v>
      </x:c>
      <x:c r="F7" s="14" t="str">
        <x:v>Counts by attack, defence/system and benchmark</x:v>
      </x:c>
      <x:c r="G7" s="14" t="str">
        <x:v>Ready</x:v>
      </x:c>
      <x:c r="H7" s="14" t="str">
        <x:v>Freeze categories after final review</x:v>
      </x:c>
      <x:c r="I7" s="14" t="str">
        <x:v>High</x:v>
      </x:c>
    </x:row>
    <x:row r="8">
      <x:c r="A8" s="14" t="str">
        <x:v>Attack Taxonomy</x:v>
      </x:c>
      <x:c r="B8" s="14" t="str">
        <x:v>Entry channel, operation, activation, propagation and evidence effects</x:v>
      </x:c>
      <x:c r="C8" s="14" t="str">
        <x:v>10–33 attack studies; especially 19</x:v>
      </x:c>
      <x:c r="D8" s="14" t="str">
        <x:v>1, 7</x:v>
      </x:c>
      <x:c r="E8" s="14" t="str">
        <x:v>Multidimensional attack taxonomy</x:v>
      </x:c>
      <x:c r="F8" s="14" t="str">
        <x:v>4 write channels, 9 vulnerabilities, 6 attack classes from MPBench study</x:v>
      </x:c>
      <x:c r="G8" s="14" t="str">
        <x:v>Ready</x:v>
      </x:c>
      <x:c r="H8" s="14" t="str">
        <x:v>Verify exact values for papers marked</x:v>
      </x:c>
      <x:c r="I8" s="14" t="str">
        <x:v>High</x:v>
      </x:c>
    </x:row>
    <x:row r="9">
      <x:c r="A9" s="14" t="str">
        <x:v>Forensic Readiness / MEIRC</x:v>
      </x:c>
      <x:c r="B9" s="14" t="str">
        <x:v>Define source-to-action evidence requirements</x:v>
      </x:c>
      <x:c r="C9" s="14" t="str">
        <x:v>16, 17, 18, 35–40</x:v>
      </x:c>
      <x:c r="D9" s="14" t="str">
        <x:v>2, W3C PROV, NIST</x:v>
      </x:c>
      <x:c r="E9" s="14" t="str">
        <x:v>MEIRC graph and evidence-event schema</x:v>
      </x:c>
      <x:c r="F9" s="14" t="str">
        <x:v>Quantify how few core studies support attribution/causal reconstruction</x:v>
      </x:c>
      <x:c r="G9" s="14" t="str">
        <x:v>Ready</x:v>
      </x:c>
      <x:c r="H9" s="14" t="str">
        <x:v>Count capability columns from Core Studies</x:v>
      </x:c>
      <x:c r="I9" s="14" t="str">
        <x:v>High</x:v>
      </x:c>
    </x:row>
    <x:row r="10">
      <x:c r="A10" s="14" t="str">
        <x:v>Incident Reconstruction</x:v>
      </x:c>
      <x:c r="B10" s="14" t="str">
        <x:v>Causal confidence and post-hoc analysis</x:v>
      </x:c>
      <x:c r="C10" s="14" t="str">
        <x:v>16, 18, 24, 39, 40</x:v>
      </x:c>
      <x:c r="D10" s="14" t="str">
        <x:v>2 and digital-forensics foundations</x:v>
      </x:c>
      <x:c r="E10" s="14" t="str">
        <x:v>Causal-confidence ladder</x:v>
      </x:c>
      <x:c r="F10" s="14" t="str">
        <x:v>Use MemAudit and trajectory-signature metrics</x:v>
      </x:c>
      <x:c r="G10" s="14" t="str">
        <x:v>Partial</x:v>
      </x:c>
      <x:c r="H10" s="14" t="str">
        <x:v>Verify exact accuracy/FPR values</x:v>
      </x:c>
      <x:c r="I10" s="14" t="str">
        <x:v>High</x:v>
      </x:c>
    </x:row>
    <x:row r="11">
      <x:c r="A11" s="14" t="str">
        <x:v>Blast Radius and Propagation</x:v>
      </x:c>
      <x:c r="B11" s="14" t="str">
        <x:v>Scope shared-state and multi-agent contamination</x:v>
      </x:c>
      <x:c r="C11" s="14" t="str">
        <x:v>22, 26, 29, 32, 50, 53, 55, 60</x:v>
      </x:c>
      <x:c r="D11" s="14" t="str">
        <x:v>3</x:v>
      </x:c>
      <x:c r="E11" s="14" t="str">
        <x:v>Propagation / dependency graph</x:v>
      </x:c>
      <x:c r="F11" s="14" t="str">
        <x:v>Count studies with explicit blast-radius support</x:v>
      </x:c>
      <x:c r="G11" s="14" t="str">
        <x:v>Ready</x:v>
      </x:c>
      <x:c r="H11" s="14" t="str">
        <x:v>Compute final count from workbook</x:v>
      </x:c>
      <x:c r="I11" s="14" t="str">
        <x:v>High</x:v>
      </x:c>
    </x:row>
    <x:row r="12">
      <x:c r="A12" s="14" t="str">
        <x:v>Recovery</x:v>
      </x:c>
      <x:c r="B12" s="14" t="str">
        <x:v>Rollback, revocation, forgetting and residual contamination</x:v>
      </x:c>
      <x:c r="C12" s="14" t="str">
        <x:v>36, 37, 42, 55, 60, 62</x:v>
      </x:c>
      <x:c r="D12" s="14" t="str">
        <x:v>1, 3, unlearning foundations</x:v>
      </x:c>
      <x:c r="E12" s="14" t="str">
        <x:v>Recovery completeness model</x:v>
      </x:c>
      <x:c r="F12" s="14" t="str">
        <x:v>Report which studies test post-recovery non-reappearance</x:v>
      </x:c>
      <x:c r="G12" s="14" t="str">
        <x:v>Partial</x:v>
      </x:c>
      <x:c r="H12" s="14" t="str">
        <x:v>Verify recovery and forgetting metrics</x:v>
      </x:c>
      <x:c r="I12" s="14" t="str">
        <x:v>High</x:v>
      </x:c>
    </x:row>
    <x:row r="13">
      <x:c r="A13" s="14" t="str">
        <x:v>Defence Synthesis</x:v>
      </x:c>
      <x:c r="B13" s="14" t="str">
        <x:v>Compare prevention, detection, provenance and recovery value</x:v>
      </x:c>
      <x:c r="C13" s="14" t="str">
        <x:v>34–55 defence/system studies</x:v>
      </x:c>
      <x:c r="D13" s="14" t="str">
        <x:v>1, 2, 3</x:v>
      </x:c>
      <x:c r="E13" s="14" t="str">
        <x:v>Defence forensic-value matrix</x:v>
      </x:c>
      <x:c r="F13" s="14" t="str">
        <x:v>Count prevention-only vs evidence/recovery support</x:v>
      </x:c>
      <x:c r="G13" s="14" t="str">
        <x:v>Ready</x:v>
      </x:c>
      <x:c r="H13" s="14" t="str">
        <x:v>Verify quantitative overhead</x:v>
      </x:c>
      <x:c r="I13" s="14" t="str">
        <x:v>High</x:v>
      </x:c>
    </x:row>
    <x:row r="14">
      <x:c r="A14" s="14" t="str">
        <x:v>Benchmark Synthesis</x:v>
      </x:c>
      <x:c r="B14" s="14" t="str">
        <x:v>Show capability and forensic-ground-truth gap</x:v>
      </x:c>
      <x:c r="C14" s="14" t="str">
        <x:v>19, 59–67</x:v>
      </x:c>
      <x:c r="D14" s="14" t="str">
        <x:v>Memory benchmark surveys</x:v>
      </x:c>
      <x:c r="E14" s="14" t="str">
        <x:v>Benchmark coverage matrix</x:v>
      </x:c>
      <x:c r="F14" s="14" t="str">
        <x:v>State that no current benchmark spans full source-to-recovery chain</x:v>
      </x:c>
      <x:c r="G14" s="14" t="str">
        <x:v>Ready</x:v>
      </x:c>
      <x:c r="H14" s="14" t="str">
        <x:v>Reconfirm against full benchmark papers</x:v>
      </x:c>
      <x:c r="I14" s="14" t="str">
        <x:v>High</x:v>
      </x:c>
    </x:row>
    <x:row r="15">
      <x:c r="A15" s="14" t="str">
        <x:v>Survey Differentiation</x:v>
      </x:c>
      <x:c r="B15" s="14" t="str">
        <x:v>Prove non-overlap with existing surveys</x:v>
      </x:c>
      <x:c r="C15" s="14" t="str">
        <x:v>35–40 plus all core evidence</x:v>
      </x:c>
      <x:c r="D15" s="14" t="str">
        <x:v>1, 2, 3, 4, 5, 7</x:v>
      </x:c>
      <x:c r="E15" s="14" t="str">
        <x:v>Survey comparison table</x:v>
      </x:c>
      <x:c r="F15" s="14" t="str">
        <x:v>No unsupported claim that provenance/recovery are absent elsewhere</x:v>
      </x:c>
      <x:c r="G15" s="14" t="str">
        <x:v>Ready</x:v>
      </x:c>
      <x:c r="H15" s="14" t="str">
        <x:v>Keep wording precise</x:v>
      </x:c>
      <x:c r="I15" s="14" t="str">
        <x:v>High</x:v>
      </x:c>
    </x:row>
    <x:row r="16">
      <x:c r="A16" s="14" t="str">
        <x:v>Open Challenges</x:v>
      </x:c>
      <x:c r="B16" s="14" t="str">
        <x:v>Evidence-derived gaps and research agenda</x:v>
      </x:c>
      <x:c r="C16" s="14" t="str">
        <x:v>All core studies</x:v>
      </x:c>
      <x:c r="D16" s="14" t="str">
        <x:v>All surveys/foundations</x:v>
      </x:c>
      <x:c r="E16" s="14" t="str">
        <x:v>Challenge × evidence-gap table</x:v>
      </x:c>
      <x:c r="F16" s="14" t="str">
        <x:v>Use capability counts rather than intuition</x:v>
      </x:c>
      <x:c r="G16" s="14" t="str">
        <x:v>Partial</x:v>
      </x:c>
      <x:c r="H16" s="14" t="str">
        <x:v>Calculate final coverage percentages</x:v>
      </x:c>
      <x:c r="I16" s="14" t="str">
        <x:v>Medium</x:v>
      </x:c>
    </x:row>
    <x:row r="17">
      <x:c r="A17" s="14" t="str">
        <x:v>Conclusion</x:v>
      </x:c>
      <x:c r="B17" s="14" t="str">
        <x:v>Summarize evidence and proposed framework</x:v>
      </x:c>
      <x:c r="C17" s="14" t="str">
        <x:v>All core studies</x:v>
      </x:c>
      <x:c r="D17" s="14" t="str">
        <x:v>1–3</x:v>
      </x:c>
      <x:c r="E17" s="14" t="str">
        <x:v>No new figure</x:v>
      </x:c>
      <x:c r="F17" s="14" t="str">
        <x:v>Use final counts and strongest empirical gaps</x:v>
      </x:c>
      <x:c r="G17" s="14" t="str">
        <x:v>Partial</x:v>
      </x:c>
      <x:c r="H17" s="14" t="str">
        <x:v>Update after final manuscript tables</x:v>
      </x:c>
      <x:c r="I17" s="14" t="str">
        <x:v>Medium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eeb373a394f4a1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4" max="4" width="20" hidden="0" customWidth="1"/>
    <x:col min="5" max="5" width="12" hidden="0" customWidth="1"/>
    <x:col min="7" max="7" width="24" hidden="0" customWidth="1"/>
    <x:col min="8" max="8" width="12" hidden="0" customWidth="1"/>
  </x:cols>
  <x:sheetData>
    <x:row r="1">
      <x:c r="A1" s="4" t="str">
        <x:v>Survey Evidence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20" t="str">
        <x:v>KPI</x:v>
      </x:c>
      <x:c r="B3" s="20" t="str">
        <x:v>Value</x:v>
      </x:c>
      <x:c r="D3" s="20" t="str">
        <x:v>Evidence group</x:v>
      </x:c>
      <x:c r="E3" s="20" t="str">
        <x:v>Count</x:v>
      </x:c>
      <x:c r="G3" s="20" t="str">
        <x:v>Forensic capability</x:v>
      </x:c>
      <x:c r="H3" s="20" t="str">
        <x:v>Count</x:v>
      </x:c>
    </x:row>
    <x:row r="4">
      <x:c r="A4" t="str">
        <x:v>Uploaded completed PDFs</x:v>
      </x:c>
      <x:c r="B4" t="n">
        <x:v>75</x:v>
      </x:c>
      <x:c r="D4" t="str">
        <x:v>Attack/failure</x:v>
      </x:c>
      <x:c r="E4" t="n">
        <x:v>20</x:v>
      </x:c>
      <x:c r="G4" t="str">
        <x:v>Provenance</x:v>
      </x:c>
      <x:c r="H4" t="n">
        <x:f>B12</x:f>
        <x:v>6</x:v>
      </x:c>
    </x:row>
    <x:row r="5">
      <x:c r="A5" t="str">
        <x:v>Core primary studies</x:v>
      </x:c>
      <x:c r="B5" t="n">
        <x:v>39</x:v>
      </x:c>
      <x:c r="D5" t="str">
        <x:v>Defence/system</x:v>
      </x:c>
      <x:c r="E5" t="n">
        <x:v>12</x:v>
      </x:c>
      <x:c r="G5" t="str">
        <x:v>Attribution</x:v>
      </x:c>
      <x:c r="H5" t="n">
        <x:f>B13</x:f>
        <x:v>8</x:v>
      </x:c>
    </x:row>
    <x:row r="6">
      <x:c r="A6" t="str">
        <x:v>Adjacent/background papers</x:v>
      </x:c>
      <x:c r="B6" t="n">
        <x:v>36</x:v>
      </x:c>
      <x:c r="D6" t="str">
        <x:v>Benchmark</x:v>
      </x:c>
      <x:c r="E6" t="n">
        <x:v>8</x:v>
      </x:c>
      <x:c r="G6" t="str">
        <x:v>Causal reconstruction</x:v>
      </x:c>
      <x:c r="H6" t="n">
        <x:f>B14</x:f>
        <x:v>9</x:v>
      </x:c>
    </x:row>
    <x:row r="7">
      <x:c r="A7" t="str">
        <x:v>Attack/failure studies</x:v>
      </x:c>
      <x:c r="B7" t="n">
        <x:v>20</x:v>
      </x:c>
      <x:c r="G7" t="str">
        <x:v>Blast radius</x:v>
      </x:c>
      <x:c r="H7" t="n">
        <x:f>B15</x:f>
        <x:v>7</x:v>
      </x:c>
    </x:row>
    <x:row r="8">
      <x:c r="A8" t="str">
        <x:v>Defence/provenance/recovery studies</x:v>
      </x:c>
      <x:c r="B8" t="n">
        <x:v>12</x:v>
      </x:c>
      <x:c r="G8" t="str">
        <x:v>Recovery</x:v>
      </x:c>
      <x:c r="H8" t="n">
        <x:f>B16</x:f>
        <x:v>7</x:v>
      </x:c>
    </x:row>
    <x:row r="9">
      <x:c r="A9" t="str">
        <x:v>Benchmark studies</x:v>
      </x:c>
      <x:c r="B9" t="n">
        <x:v>8</x:v>
      </x:c>
    </x:row>
    <x:row r="10">
      <x:c r="A10" t="str">
        <x:v>Peer-reviewed core studies</x:v>
      </x:c>
      <x:c r="B10" t="n">
        <x:v>9</x:v>
      </x:c>
    </x:row>
    <x:row r="11">
      <x:c r="A11" t="str">
        <x:v>Preprint/workshop core studies</x:v>
      </x:c>
      <x:c r="B11" t="n">
        <x:v>30</x:v>
      </x:c>
    </x:row>
    <x:row r="12">
      <x:c r="A12" t="str">
        <x:v>Studies with provenance support</x:v>
      </x:c>
      <x:c r="B12" t="n">
        <x:f>COUNTIF('Core Studies'!S4:S42,"Yes")</x:f>
        <x:v>6</x:v>
      </x:c>
    </x:row>
    <x:row r="13">
      <x:c r="A13" t="str">
        <x:v>Studies with source attribution</x:v>
      </x:c>
      <x:c r="B13" t="n">
        <x:f>COUNTIF('Core Studies'!T4:T42,"Yes")</x:f>
        <x:v>8</x:v>
      </x:c>
    </x:row>
    <x:row r="14">
      <x:c r="A14" t="str">
        <x:v>Studies with causal reconstruction</x:v>
      </x:c>
      <x:c r="B14" t="n">
        <x:f>COUNTIF('Core Studies'!U4:U42,"Yes")</x:f>
        <x:v>9</x:v>
      </x:c>
    </x:row>
    <x:row r="15">
      <x:c r="A15" t="str">
        <x:v>Studies with blast-radius support</x:v>
      </x:c>
      <x:c r="B15" t="n">
        <x:f>COUNTIF('Core Studies'!V4:V42,"Yes")</x:f>
        <x:v>7</x:v>
      </x:c>
    </x:row>
    <x:row r="16">
      <x:c r="A16" t="str">
        <x:v>Studies with recovery support</x:v>
      </x:c>
      <x:c r="B16" t="n">
        <x:f>COUNTIF('Core Studies'!W4:W42,"Yes")</x:f>
        <x:v>7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806e9b712d3a443f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6" hidden="0" customWidth="1"/>
    <x:col min="4" max="4" width="28" hidden="0" customWidth="1"/>
    <x:col min="5" max="5" width="34" hidden="0" customWidth="1"/>
    <x:col min="6" max="6" width="34" hidden="0" customWidth="1"/>
    <x:col min="7" max="7" width="42" hidden="0" customWidth="1"/>
  </x:cols>
  <x:sheetData>
    <x:row r="1">
      <x:c r="A1" s="4" t="str">
        <x:v>Completion Checklist Before Journal Submission</x:v>
      </x:c>
      <x:c r="B1" s="4"/>
      <x:c r="C1" s="4"/>
      <x:c r="D1" s="4"/>
      <x:c r="E1" s="4"/>
      <x:c r="F1" s="4"/>
      <x:c r="G1" s="4"/>
    </x:row>
    <x:row r="3">
      <x:c r="A3" s="20" t="str">
        <x:v>Task</x:v>
      </x:c>
      <x:c r="B3" s="20" t="str">
        <x:v>Status</x:v>
      </x:c>
      <x:c r="C3" s="20" t="str">
        <x:v>Owner</x:v>
      </x:c>
      <x:c r="D3" s="20" t="str">
        <x:v>Evidence / sheet</x:v>
      </x:c>
      <x:c r="E3" s="20" t="str">
        <x:v>Required output</x:v>
      </x:c>
      <x:c r="F3" s="20" t="str">
        <x:v>Risk if incomplete</x:v>
      </x:c>
      <x:c r="G3" s="20" t="str">
        <x:v>Notes</x:v>
      </x:c>
    </x:row>
    <x:row r="4">
      <x:c r="A4" s="14" t="str">
        <x:v>Verify final bibliographic metadata for all 39 core studies</x:v>
      </x:c>
      <x:c r="B4" s="14" t="str">
        <x:v>In progress</x:v>
      </x:c>
      <x:c r="C4" s="14" t="str"/>
      <x:c r="D4" s="14" t="str">
        <x:v>Core Studies</x:v>
      </x:c>
      <x:c r="E4" s="14" t="str">
        <x:v>Correct authors, venue, DOI/arXiv version</x:v>
      </x:c>
      <x:c r="F4" s="14" t="str">
        <x:v>Citation errors / reviewer distrust</x:v>
      </x:c>
      <x:c r="G4" s="14" t="str">
        <x:v>Prioritise 2026 preprints and venue claims.</x:v>
      </x:c>
    </x:row>
    <x:row r="5">
      <x:c r="A5" s="14" t="str">
        <x:v>Verify exact quantitative results used in text</x:v>
      </x:c>
      <x:c r="B5" s="14" t="str">
        <x:v>Not started</x:v>
      </x:c>
      <x:c r="C5" s="14" t="str"/>
      <x:c r="D5" s="14" t="str">
        <x:v>Core Studies; Attack Matrix; Defence &amp; Systems</x:v>
      </x:c>
      <x:c r="E5" s="14" t="str">
        <x:v>Table/page-level verified metrics</x:v>
      </x:c>
      <x:c r="F5" s="14" t="str">
        <x:v>Unsupported numerical claims</x:v>
      </x:c>
      <x:c r="G5" s="14" t="str">
        <x:v>Focus on values marked 'verify'.</x:v>
      </x:c>
    </x:row>
    <x:row r="6">
      <x:c r="A6" s="14" t="str">
        <x:v>Freeze inclusion boundary and final core count</x:v>
      </x:c>
      <x:c r="B6" s="14" t="str">
        <x:v>Complete</x:v>
      </x:c>
      <x:c r="C6" s="14" t="str"/>
      <x:c r="D6" s="14" t="str">
        <x:v>Core Studies</x:v>
      </x:c>
      <x:c r="E6" s="14" t="str">
        <x:v>Final n and category counts</x:v>
      </x:c>
      <x:c r="F6" s="14" t="str">
        <x:v>Inconsistent abstract/methodology</x:v>
      </x:c>
      <x:c r="G6" s="14" t="str">
        <x:v>Current working n = 39.</x:v>
      </x:c>
    </x:row>
    <x:row r="7">
      <x:c r="A7" s="14" t="str">
        <x:v>Write corpus-construction methodology</x:v>
      </x:c>
      <x:c r="B7" s="14" t="str">
        <x:v>Not started</x:v>
      </x:c>
      <x:c r="C7" s="14" t="str"/>
      <x:c r="D7" s="14" t="str">
        <x:v>README; Writing Map</x:v>
      </x:c>
      <x:c r="E7" s="14" t="str">
        <x:v>Transparent bounded-corpus method</x:v>
      </x:c>
      <x:c r="F7" s="14" t="str">
        <x:v>Methodological criticism</x:v>
      </x:c>
      <x:c r="G7" s="14" t="str">
        <x:v>Do not claim exhaustive PRISMA search.</x:v>
      </x:c>
    </x:row>
    <x:row r="8">
      <x:c r="A8" s="14" t="str">
        <x:v>Complete attack synthesis table</x:v>
      </x:c>
      <x:c r="B8" s="14" t="str">
        <x:v>Complete</x:v>
      </x:c>
      <x:c r="C8" s="14" t="str"/>
      <x:c r="D8" s="14" t="str">
        <x:v>Attack Matrix</x:v>
      </x:c>
      <x:c r="E8" s="14" t="str">
        <x:v>Publication-ready table</x:v>
      </x:c>
      <x:c r="F8" s="14" t="str">
        <x:v>Weak evidence synthesis</x:v>
      </x:c>
      <x:c r="G8" s="14" t="str">
        <x:v>Condense for manuscript.</x:v>
      </x:c>
    </x:row>
    <x:row r="9">
      <x:c r="A9" s="14" t="str">
        <x:v>Complete defence forensic-value table</x:v>
      </x:c>
      <x:c r="B9" s="14" t="str">
        <x:v>Complete</x:v>
      </x:c>
      <x:c r="C9" s="14" t="str"/>
      <x:c r="D9" s="14" t="str">
        <x:v>Defence &amp; Systems</x:v>
      </x:c>
      <x:c r="E9" s="14" t="str">
        <x:v>Publication-ready table</x:v>
      </x:c>
      <x:c r="F9" s="14" t="str">
        <x:v>Paper reads as conceptual only</x:v>
      </x:c>
      <x:c r="G9" s="14" t="str">
        <x:v>Add study-level citations.</x:v>
      </x:c>
    </x:row>
    <x:row r="10">
      <x:c r="A10" s="14" t="str">
        <x:v>Complete benchmark gap table</x:v>
      </x:c>
      <x:c r="B10" s="14" t="str">
        <x:v>Complete</x:v>
      </x:c>
      <x:c r="C10" s="14" t="str"/>
      <x:c r="D10" s="14" t="str">
        <x:v>Benchmarks</x:v>
      </x:c>
      <x:c r="E10" s="14" t="str">
        <x:v>Publication-ready table</x:v>
      </x:c>
      <x:c r="F10" s="14" t="str">
        <x:v>Benchmark-gap claim unsubstantiated</x:v>
      </x:c>
      <x:c r="G10" s="14" t="str">
        <x:v>Verify full-chain absence.</x:v>
      </x:c>
    </x:row>
    <x:row r="11">
      <x:c r="A11" s="14" t="str">
        <x:v>Update related-survey comparison</x:v>
      </x:c>
      <x:c r="B11" s="14" t="str">
        <x:v>Complete</x:v>
      </x:c>
      <x:c r="C11" s="14" t="str"/>
      <x:c r="D11" s="14" t="str">
        <x:v>Related Surveys</x:v>
      </x:c>
      <x:c r="E11" s="14" t="str">
        <x:v>Novelty table</x:v>
      </x:c>
      <x:c r="F11" s="14" t="str">
        <x:v>Overlap criticism</x:v>
      </x:c>
      <x:c r="G11" s="14" t="str">
        <x:v>Keep three closest surveys prominent.</x:v>
      </x:c>
    </x:row>
    <x:row r="12">
      <x:c r="A12" s="14" t="str">
        <x:v>Calculate final capability percentages</x:v>
      </x:c>
      <x:c r="B12" s="14" t="str">
        <x:v>Not started</x:v>
      </x:c>
      <x:c r="C12" s="14" t="str"/>
      <x:c r="D12" s="14" t="str">
        <x:v>Dashboard</x:v>
      </x:c>
      <x:c r="E12" s="14" t="str">
        <x:v>Corpus-derived novelty findings</x:v>
      </x:c>
      <x:c r="F12" s="14" t="str">
        <x:v>Qualitative overclaiming</x:v>
      </x:c>
      <x:c r="G12" s="14" t="str">
        <x:v>Use explicit Yes counts and discuss Partial separately.</x:v>
      </x:c>
    </x:row>
    <x:row r="13">
      <x:c r="A13" s="14" t="str">
        <x:v>Add supplementary full evidence table</x:v>
      </x:c>
      <x:c r="B13" s="14" t="str">
        <x:v>Complete</x:v>
      </x:c>
      <x:c r="C13" s="14" t="str"/>
      <x:c r="D13" s="14" t="str">
        <x:v>Core Studies</x:v>
      </x:c>
      <x:c r="E13" s="14" t="str">
        <x:v>Supplementary XLSX/CSV</x:v>
      </x:c>
      <x:c r="F13" s="14" t="str">
        <x:v>Low reproducibility</x:v>
      </x:c>
      <x:c r="G13" s="14" t="str">
        <x:v>This workbook can serve as supplement after cleaning identifiers.</x:v>
      </x:c>
    </x:row>
    <x:row r="14">
      <x:c r="A14" s="14" t="str">
        <x:v>Final reference and citation consistency check</x:v>
      </x:c>
      <x:c r="B14" s="14" t="str">
        <x:v>Not started</x:v>
      </x:c>
      <x:c r="C14" s="14" t="str"/>
      <x:c r="D14" s="14" t="str">
        <x:v>All sheets / manuscript</x:v>
      </x:c>
      <x:c r="E14" s="14" t="str">
        <x:v>No missing or uncited references</x:v>
      </x:c>
      <x:c r="F14" s="14" t="str">
        <x:v>Editorial rejection</x:v>
      </x:c>
      <x:c r="G14" s="14" t="str">
        <x:v>Run after manuscript revision.</x:v>
      </x:c>
    </x:row>
  </x:sheetData>
  <x:mergeCells>
    <x:mergeCell ref="A1:G1"/>
  </x:mergeCells>
  <x:conditionalFormatting sqref="B4:B14">
    <x:cfRule type="expression" dxfId="10" priority="1">
      <x:formula>B4="Complete"</x:formula>
    </x:cfRule>
    <x:cfRule type="expression" dxfId="11" priority="2">
      <x:formula>B4="Blocked"</x:formula>
    </x:cfRule>
  </x:conditionalFormatting>
  <x:dataValidations count="1">
    <x:dataValidation type="list" sqref="B4:B14">
      <x:formula1>"Not started,In progress,Complete,Blocked"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15764bc990434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8" hidden="0" customWidth="1"/>
    <x:col min="10" max="10" width="13" hidden="0" customWidth="1"/>
    <x:col min="11" max="11" width="13" hidden="0" customWidth="1"/>
    <x:col min="12" max="12" width="20" hidden="0" customWidth="1"/>
  </x:cols>
  <x:sheetData>
    <x:row r="1">
      <x:c r="A1" s="30" t="str">
        <x:v>Appendix A — Core Primary-Study Census and Capability Coding (n = 39)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3">
      <x:c r="A3" s="35" t="str">
        <x:v>ID</x:v>
      </x:c>
      <x:c r="B3" s="35" t="str">
        <x:v>Study</x:v>
      </x:c>
      <x:c r="C3" s="35" t="str">
        <x:v>Authors</x:v>
      </x:c>
      <x:c r="D3" s="35" t="str">
        <x:v>Year</x:v>
      </x:c>
      <x:c r="E3" s="35" t="str">
        <x:v>Publication status</x:v>
      </x:c>
      <x:c r="F3" s="35" t="str">
        <x:v>Evidence role</x:v>
      </x:c>
      <x:c r="G3" s="35" t="str">
        <x:v>Provenance</x:v>
      </x:c>
      <x:c r="H3" s="35" t="str">
        <x:v>Attribution</x:v>
      </x:c>
      <x:c r="I3" s="35" t="str">
        <x:v>Causal reconstruction</x:v>
      </x:c>
      <x:c r="J3" s="35" t="str">
        <x:v>Blast radius</x:v>
      </x:c>
      <x:c r="K3" s="35" t="str">
        <x:v>Recovery</x:v>
      </x:c>
      <x:c r="L3" s="35" t="str">
        <x:v>DOI / arXiv / ID</x:v>
      </x:c>
    </x:row>
    <x:row r="4">
      <x:c r="A4" s="14" t="n">
        <x:v>10</x:v>
      </x:c>
      <x:c r="B4" s="14" t="str">
        <x:v>AgentPoison: Red-Teaming LLM Agents via Poisoning Memory or Knowledge Bases</x:v>
      </x:c>
      <x:c r="C4" s="14" t="str">
        <x:v>Zhaorun Chen et al.</x:v>
      </x:c>
      <x:c r="D4" s="14" t="n">
        <x:v>2024</x:v>
      </x:c>
      <x:c r="E4" s="14" t="str">
        <x:v>Peer-reviewed</x:v>
      </x:c>
      <x:c r="F4" s="14" t="str">
        <x:v>Attack/failure</x:v>
      </x:c>
      <x:c r="G4" s="14" t="str">
        <x:v>No</x:v>
      </x:c>
      <x:c r="H4" s="14" t="str">
        <x:v>Partial</x:v>
      </x:c>
      <x:c r="I4" s="14" t="str">
        <x:v>Partial</x:v>
      </x:c>
      <x:c r="J4" s="14" t="str">
        <x:v>No</x:v>
      </x:c>
      <x:c r="K4" s="14" t="str">
        <x:v>No</x:v>
      </x:c>
      <x:c r="L4" s="14" t="str">
        <x:v>2407.12784</x:v>
      </x:c>
    </x:row>
    <x:row r="5">
      <x:c r="A5" s="14" t="n">
        <x:v>11</x:v>
      </x:c>
      <x:c r="B5" s="14" t="str">
        <x:v>Memory Injection Attacks on LLM Agents via Query-Only Interaction</x:v>
      </x:c>
      <x:c r="C5" s="14" t="str">
        <x:v>Shen Dong et al.</x:v>
      </x:c>
      <x:c r="D5" s="14" t="n">
        <x:v>2025</x:v>
      </x:c>
      <x:c r="E5" s="14" t="str">
        <x:v>Peer-reviewed</x:v>
      </x:c>
      <x:c r="F5" s="14" t="str">
        <x:v>Attack/failure</x:v>
      </x:c>
      <x:c r="G5" s="14" t="str">
        <x:v>No</x:v>
      </x:c>
      <x:c r="H5" s="14" t="str">
        <x:v>Partial</x:v>
      </x:c>
      <x:c r="I5" s="14" t="str">
        <x:v>Partial</x:v>
      </x:c>
      <x:c r="J5" s="14" t="str">
        <x:v>No</x:v>
      </x:c>
      <x:c r="K5" s="14" t="str">
        <x:v>No</x:v>
      </x:c>
      <x:c r="L5" s="14" t="str">
        <x:v>2503.03704</x:v>
      </x:c>
    </x:row>
    <x:row r="6">
      <x:c r="A6" s="14" t="n">
        <x:v>12</x:v>
      </x:c>
      <x:c r="B6" s="14" t="str">
        <x:v>Unveiling Privacy Risks in LLM Agent Memory</x:v>
      </x:c>
      <x:c r="C6" s="14" t="str">
        <x:v>Bo Wang et al.</x:v>
      </x:c>
      <x:c r="D6" s="14" t="n">
        <x:v>2025</x:v>
      </x:c>
      <x:c r="E6" s="14" t="str">
        <x:v>Peer-reviewed</x:v>
      </x:c>
      <x:c r="F6" s="14" t="str">
        <x:v>Attack/failure</x:v>
      </x:c>
      <x:c r="G6" s="14" t="str">
        <x:v>No</x:v>
      </x:c>
      <x:c r="H6" s="14" t="str">
        <x:v>No</x:v>
      </x:c>
      <x:c r="I6" s="14" t="str">
        <x:v>Partial</x:v>
      </x:c>
      <x:c r="J6" s="14" t="str">
        <x:v>No</x:v>
      </x:c>
      <x:c r="K6" s="14" t="str">
        <x:v>No</x:v>
      </x:c>
      <x:c r="L6" s="14" t="str">
        <x:v>2502.13172</x:v>
      </x:c>
    </x:row>
    <x:row r="7">
      <x:c r="A7" s="14" t="n">
        <x:v>13</x:v>
      </x:c>
      <x:c r="B7" s="14" t="str">
        <x:v>Poison Once, Exploit Forever: Environment-Injected Memory Poisoning Attacks on Web Agents</x:v>
      </x:c>
      <x:c r="C7" s="14" t="str">
        <x:v>Wei Zou et al.</x:v>
      </x:c>
      <x:c r="D7" s="14" t="n">
        <x:v>2026</x:v>
      </x:c>
      <x:c r="E7" s="14" t="str">
        <x:v>Preprint</x:v>
      </x:c>
      <x:c r="F7" s="14" t="str">
        <x:v>Attack/failure</x:v>
      </x:c>
      <x:c r="G7" s="14" t="str">
        <x:v>No</x:v>
      </x:c>
      <x:c r="H7" s="14" t="str">
        <x:v>Partial</x:v>
      </x:c>
      <x:c r="I7" s="14" t="str">
        <x:v>Partial</x:v>
      </x:c>
      <x:c r="J7" s="14" t="str">
        <x:v>Partial</x:v>
      </x:c>
      <x:c r="K7" s="14" t="str">
        <x:v>No</x:v>
      </x:c>
      <x:c r="L7" s="14" t="str">
        <x:v>2604.02623</x:v>
      </x:c>
    </x:row>
    <x:row r="8">
      <x:c r="A8" s="14" t="n">
        <x:v>14</x:v>
      </x:c>
      <x:c r="B8" s="14" t="str">
        <x:v>InjecMEM: Memory Injection Attack on LLM Agent Memory Systems</x:v>
      </x:c>
      <x:c r="C8" s="14" t="str">
        <x:v>Anonymous authors</x:v>
      </x:c>
      <x:c r="D8" s="14" t="n">
        <x:v>2026</x:v>
      </x:c>
      <x:c r="E8" s="14" t="str">
        <x:v>Preprint</x:v>
      </x:c>
      <x:c r="F8" s="14" t="str">
        <x:v>Attack/failure</x:v>
      </x:c>
      <x:c r="G8" s="14" t="str">
        <x:v>No</x:v>
      </x:c>
      <x:c r="H8" s="14" t="str">
        <x:v>Partial</x:v>
      </x:c>
      <x:c r="I8" s="14" t="str">
        <x:v>Partial</x:v>
      </x:c>
      <x:c r="J8" s="14" t="str">
        <x:v>No</x:v>
      </x:c>
      <x:c r="K8" s="14" t="str">
        <x:v>No</x:v>
      </x:c>
      <x:c r="L8" s="14" t="str">
        <x:v>QVX6hcJ2um</x:v>
      </x:c>
    </x:row>
    <x:row r="9">
      <x:c r="A9" s="14" t="n">
        <x:v>15</x:v>
      </x:c>
      <x:c r="B9" s="14" t="str">
        <x:v>MemoryGraft: Persistent Compromise of LLM Agents via Poisoned Experience Retrieval</x:v>
      </x:c>
      <x:c r="C9" s="14" t="str">
        <x:v>Saksham Sahai Srivastava and Haoyu He</x:v>
      </x:c>
      <x:c r="D9" s="14" t="n">
        <x:v>2025</x:v>
      </x:c>
      <x:c r="E9" s="14" t="str">
        <x:v>Preprint</x:v>
      </x:c>
      <x:c r="F9" s="14" t="str">
        <x:v>Attack/failure</x:v>
      </x:c>
      <x:c r="G9" s="14" t="str">
        <x:v>No</x:v>
      </x:c>
      <x:c r="H9" s="14" t="str">
        <x:v>Partial</x:v>
      </x:c>
      <x:c r="I9" s="14" t="str">
        <x:v>Partial</x:v>
      </x:c>
      <x:c r="J9" s="14" t="str">
        <x:v>No</x:v>
      </x:c>
      <x:c r="K9" s="14" t="str">
        <x:v>No</x:v>
      </x:c>
      <x:c r="L9" s="14" t="str">
        <x:v>2512.16962</x:v>
      </x:c>
    </x:row>
    <x:row r="10">
      <x:c r="A10" s="14" t="n">
        <x:v>16</x:v>
      </x:c>
      <x:c r="B10" s="14" t="str">
        <x:v>From Storage to Steering: Memory Control Flow Attacks on LLM Agents</x:v>
      </x:c>
      <x:c r="C10" s="14" t="str">
        <x:v>Zhenlin Xu et al.</x:v>
      </x:c>
      <x:c r="D10" s="14" t="n">
        <x:v>2026</x:v>
      </x:c>
      <x:c r="E10" s="14" t="str">
        <x:v>Preprint</x:v>
      </x:c>
      <x:c r="F10" s="14" t="str">
        <x:v>Attack/failure</x:v>
      </x:c>
      <x:c r="G10" s="14" t="str">
        <x:v>No</x:v>
      </x:c>
      <x:c r="H10" s="14" t="str">
        <x:v>Partial</x:v>
      </x:c>
      <x:c r="I10" s="14" t="str">
        <x:v>Yes</x:v>
      </x:c>
      <x:c r="J10" s="14" t="str">
        <x:v>Partial</x:v>
      </x:c>
      <x:c r="K10" s="14" t="str">
        <x:v>No</x:v>
      </x:c>
      <x:c r="L10" s="14" t="str">
        <x:v>2603.15125</x:v>
      </x:c>
    </x:row>
    <x:row r="11">
      <x:c r="A11" s="14" t="n">
        <x:v>17</x:v>
      </x:c>
      <x:c r="B11" s="14" t="str">
        <x:v>Trojan Hippo: Weaponizing Agent Memory for Data Exfiltration</x:v>
      </x:c>
      <x:c r="C11" s="14" t="str">
        <x:v>Debeshee Das et al.</x:v>
      </x:c>
      <x:c r="D11" s="14" t="n">
        <x:v>2026</x:v>
      </x:c>
      <x:c r="E11" s="14" t="str">
        <x:v>Preprint</x:v>
      </x:c>
      <x:c r="F11" s="14" t="str">
        <x:v>Attack/failure</x:v>
      </x:c>
      <x:c r="G11" s="14" t="str">
        <x:v>No</x:v>
      </x:c>
      <x:c r="H11" s="14" t="str">
        <x:v>Partial</x:v>
      </x:c>
      <x:c r="I11" s="14" t="str">
        <x:v>Yes</x:v>
      </x:c>
      <x:c r="J11" s="14" t="str">
        <x:v>Partial</x:v>
      </x:c>
      <x:c r="K11" s="14" t="str">
        <x:v>Partial</x:v>
      </x:c>
      <x:c r="L11" s="14" t="str">
        <x:v>2605.01970</x:v>
      </x:c>
    </x:row>
    <x:row r="12">
      <x:c r="A12" s="14" t="n">
        <x:v>18</x:v>
      </x:c>
      <x:c r="B12" s="14" t="str">
        <x:v>Hidden in Memory: Sleeper Memory Poisoning in LLM Agents</x:v>
      </x:c>
      <x:c r="C12" s="14" t="str">
        <x:v>Sidharth Pulipaka et al.</x:v>
      </x:c>
      <x:c r="D12" s="14" t="n">
        <x:v>2026</x:v>
      </x:c>
      <x:c r="E12" s="14" t="str">
        <x:v>Preprint</x:v>
      </x:c>
      <x:c r="F12" s="14" t="str">
        <x:v>Attack/failure</x:v>
      </x:c>
      <x:c r="G12" s="14" t="str">
        <x:v>No</x:v>
      </x:c>
      <x:c r="H12" s="14" t="str">
        <x:v>Partial</x:v>
      </x:c>
      <x:c r="I12" s="14" t="str">
        <x:v>Yes</x:v>
      </x:c>
      <x:c r="J12" s="14" t="str">
        <x:v>Partial</x:v>
      </x:c>
      <x:c r="K12" s="14" t="str">
        <x:v>Partial</x:v>
      </x:c>
      <x:c r="L12" s="14" t="str">
        <x:v>2605.15338</x:v>
      </x:c>
    </x:row>
    <x:row r="13">
      <x:c r="A13" s="14" t="n">
        <x:v>19</x:v>
      </x:c>
      <x:c r="B13" s="14" t="str">
        <x:v>From Untrusted Input to Trusted Memory: A Systematic Study of Memory Poisonin...</x:v>
      </x:c>
      <x:c r="C13" s="14" t="str">
        <x:v>Pritam Dash et al.</x:v>
      </x:c>
      <x:c r="D13" s="14" t="n">
        <x:v>2026</x:v>
      </x:c>
      <x:c r="E13" s="14" t="str">
        <x:v>Peer-reviewed workshop</x:v>
      </x:c>
      <x:c r="F13" s="14" t="str">
        <x:v>Benchmark</x:v>
      </x:c>
      <x:c r="G13" s="14" t="str">
        <x:v>Partial</x:v>
      </x:c>
      <x:c r="H13" s="14" t="str">
        <x:v>Partial</x:v>
      </x:c>
      <x:c r="I13" s="14" t="str">
        <x:v>Partial</x:v>
      </x:c>
      <x:c r="J13" s="14" t="str">
        <x:v>Partial</x:v>
      </x:c>
      <x:c r="K13" s="14" t="str">
        <x:v>No</x:v>
      </x:c>
      <x:c r="L13" s="14" t="str">
        <x:v>2606.04329</x:v>
      </x:c>
    </x:row>
    <x:row r="14">
      <x:c r="A14" s="14" t="n">
        <x:v>20</x:v>
      </x:c>
      <x:c r="B14" s="14" t="str">
        <x:v>MemMorph: Tool Hijacking in LLM Agents via Memory Poisoning</x:v>
      </x:c>
      <x:c r="C14" s="14" t="str">
        <x:v>Xuanye Zhang et al.</x:v>
      </x:c>
      <x:c r="D14" s="14" t="n">
        <x:v>2026</x:v>
      </x:c>
      <x:c r="E14" s="14" t="str">
        <x:v>Preprint</x:v>
      </x:c>
      <x:c r="F14" s="14" t="str">
        <x:v>Attack/failure</x:v>
      </x:c>
      <x:c r="G14" s="14" t="str">
        <x:v>No</x:v>
      </x:c>
      <x:c r="H14" s="14" t="str">
        <x:v>Partial</x:v>
      </x:c>
      <x:c r="I14" s="14" t="str">
        <x:v>Yes</x:v>
      </x:c>
      <x:c r="J14" s="14" t="str">
        <x:v>Partial</x:v>
      </x:c>
      <x:c r="K14" s="14" t="str">
        <x:v>No</x:v>
      </x:c>
      <x:c r="L14" s="14" t="str">
        <x:v>2605.26154</x:v>
      </x:c>
    </x:row>
    <x:row r="15">
      <x:c r="A15" s="14" t="n">
        <x:v>21</x:v>
      </x:c>
      <x:c r="B15" s="14" t="str">
        <x:v>Zombie Agents: Persistent Control of Self-Evolving LLM Agents via Self-Reinfo...</x:v>
      </x:c>
      <x:c r="C15" s="14" t="str">
        <x:v>Xianglin Yang et al.</x:v>
      </x:c>
      <x:c r="D15" s="14" t="n">
        <x:v>2026</x:v>
      </x:c>
      <x:c r="E15" s="14" t="str">
        <x:v>Preprint</x:v>
      </x:c>
      <x:c r="F15" s="14" t="str">
        <x:v>Attack/failure</x:v>
      </x:c>
      <x:c r="G15" s="14" t="str">
        <x:v>No</x:v>
      </x:c>
      <x:c r="H15" s="14" t="str">
        <x:v>Partial</x:v>
      </x:c>
      <x:c r="I15" s="14" t="str">
        <x:v>Yes</x:v>
      </x:c>
      <x:c r="J15" s="14" t="str">
        <x:v>Partial</x:v>
      </x:c>
      <x:c r="K15" s="14" t="str">
        <x:v>Partial</x:v>
      </x:c>
      <x:c r="L15" s="14" t="str">
        <x:v>2602.15654</x:v>
      </x:c>
    </x:row>
    <x:row r="16">
      <x:c r="A16" s="14" t="n">
        <x:v>22</x:v>
      </x:c>
      <x:c r="B16" s="14" t="str">
        <x:v>No Attacker Needed: Unintentional Cross-User Contamination in Shared-State LL...</x:v>
      </x:c>
      <x:c r="C16" s="14" t="str">
        <x:v>Tiankai Yang et al.</x:v>
      </x:c>
      <x:c r="D16" s="14" t="n">
        <x:v>2026</x:v>
      </x:c>
      <x:c r="E16" s="14" t="str">
        <x:v>Preprint</x:v>
      </x:c>
      <x:c r="F16" s="14" t="str">
        <x:v>Attack/failure</x:v>
      </x:c>
      <x:c r="G16" s="14" t="str">
        <x:v>Partial</x:v>
      </x:c>
      <x:c r="H16" s="14" t="str">
        <x:v>Partial</x:v>
      </x:c>
      <x:c r="I16" s="14" t="str">
        <x:v>Partial</x:v>
      </x:c>
      <x:c r="J16" s="14" t="str">
        <x:v>Yes</x:v>
      </x:c>
      <x:c r="K16" s="14" t="str">
        <x:v>Partial</x:v>
      </x:c>
      <x:c r="L16" s="14" t="str">
        <x:v>2604.01350</x:v>
      </x:c>
    </x:row>
    <x:row r="17">
      <x:c r="A17" s="14" t="n">
        <x:v>24</x:v>
      </x:c>
      <x:c r="B17" s="14" t="str">
        <x:v>Visual Inception: Compromising Long-Term Planning in Agentic Recommenders via...</x:v>
      </x:c>
      <x:c r="C17" s="14" t="str">
        <x:v>Jiachen Qian</x:v>
      </x:c>
      <x:c r="D17" s="14" t="n">
        <x:v>2026</x:v>
      </x:c>
      <x:c r="E17" s="14" t="str">
        <x:v>Preprint</x:v>
      </x:c>
      <x:c r="F17" s="14" t="str">
        <x:v>Attack/failure</x:v>
      </x:c>
      <x:c r="G17" s="14" t="str">
        <x:v>No</x:v>
      </x:c>
      <x:c r="H17" s="14" t="str">
        <x:v>Partial</x:v>
      </x:c>
      <x:c r="I17" s="14" t="str">
        <x:v>Yes</x:v>
      </x:c>
      <x:c r="J17" s="14" t="str">
        <x:v>No</x:v>
      </x:c>
      <x:c r="K17" s="14" t="str">
        <x:v>Partial</x:v>
      </x:c>
      <x:c r="L17" s="14" t="str">
        <x:v>2604.16966</x:v>
      </x:c>
    </x:row>
    <x:row r="18">
      <x:c r="A18" s="14" t="n">
        <x:v>26</x:v>
      </x:c>
      <x:c r="B18" s="14" t="str">
        <x:v>Agent Smith: A Single Image Can Jailbreak One Million Multimodal LLM Agents E...</x:v>
      </x:c>
      <x:c r="C18" s="14" t="str">
        <x:v>Xiangming Gu et al.</x:v>
      </x:c>
      <x:c r="D18" s="14" t="n">
        <x:v>2024</x:v>
      </x:c>
      <x:c r="E18" s="14" t="str">
        <x:v>Peer-reviewed</x:v>
      </x:c>
      <x:c r="F18" s="14" t="str">
        <x:v>Attack/failure</x:v>
      </x:c>
      <x:c r="G18" s="14" t="str">
        <x:v>No</x:v>
      </x:c>
      <x:c r="H18" s="14" t="str">
        <x:v>Partial</x:v>
      </x:c>
      <x:c r="I18" s="14" t="str">
        <x:v>Partial</x:v>
      </x:c>
      <x:c r="J18" s="14" t="str">
        <x:v>Yes</x:v>
      </x:c>
      <x:c r="K18" s="14" t="str">
        <x:v>No</x:v>
      </x:c>
      <x:c r="L18" s="14" t="str">
        <x:v>2402.08567</x:v>
      </x:c>
    </x:row>
    <x:row r="19">
      <x:c r="A19" s="14" t="n">
        <x:v>29</x:v>
      </x:c>
      <x:c r="B19" s="14" t="str">
        <x:v>What If Prompt Injection Never Left? Exploring Cross-Session Stored Prompt In...</x:v>
      </x:c>
      <x:c r="C19" s="14" t="str">
        <x:v>Yuanbo Xie et al.</x:v>
      </x:c>
      <x:c r="D19" s="14" t="n">
        <x:v>2026</x:v>
      </x:c>
      <x:c r="E19" s="14" t="str">
        <x:v>Preprint</x:v>
      </x:c>
      <x:c r="F19" s="14" t="str">
        <x:v>Attack/failure</x:v>
      </x:c>
      <x:c r="G19" s="14" t="str">
        <x:v>Partial</x:v>
      </x:c>
      <x:c r="H19" s="14" t="str">
        <x:v>Partial</x:v>
      </x:c>
      <x:c r="I19" s="14" t="str">
        <x:v>Partial</x:v>
      </x:c>
      <x:c r="J19" s="14" t="str">
        <x:v>Partial</x:v>
      </x:c>
      <x:c r="K19" s="14" t="str">
        <x:v>Partial</x:v>
      </x:c>
      <x:c r="L19" s="14" t="str">
        <x:v>2606.04425</x:v>
      </x:c>
    </x:row>
    <x:row r="20">
      <x:c r="A20" s="14" t="n">
        <x:v>30</x:v>
      </x:c>
      <x:c r="B20" s="14" t="str">
        <x:v>ER-MIA: Black-Box Adversarial Memory Injection Attacks on Long-Term Memory-Au...</x:v>
      </x:c>
      <x:c r="C20" s="14" t="str">
        <x:v>Mitchell Piehl et al.</x:v>
      </x:c>
      <x:c r="D20" s="14" t="n">
        <x:v>2026</x:v>
      </x:c>
      <x:c r="E20" s="14" t="str">
        <x:v>Preprint</x:v>
      </x:c>
      <x:c r="F20" s="14" t="str">
        <x:v>Attack/failure</x:v>
      </x:c>
      <x:c r="G20" s="14" t="str">
        <x:v>No</x:v>
      </x:c>
      <x:c r="H20" s="14" t="str">
        <x:v>Partial</x:v>
      </x:c>
      <x:c r="I20" s="14" t="str">
        <x:v>Partial</x:v>
      </x:c>
      <x:c r="J20" s="14" t="str">
        <x:v>No</x:v>
      </x:c>
      <x:c r="K20" s="14" t="str">
        <x:v>No</x:v>
      </x:c>
      <x:c r="L20" s="14" t="str">
        <x:v>2602.15344</x:v>
      </x:c>
    </x:row>
    <x:row r="21">
      <x:c r="A21" s="14" t="n">
        <x:v>31</x:v>
      </x:c>
      <x:c r="B21" s="14" t="str">
        <x:v>Hijacking Agent Memory: Stealthy Trojan Attacks Through Conversational Intera...</x:v>
      </x:c>
      <x:c r="C21" s="14" t="str">
        <x:v>Hongtao Wang et al.</x:v>
      </x:c>
      <x:c r="D21" s="14" t="n">
        <x:v>2026</x:v>
      </x:c>
      <x:c r="E21" s="14" t="str">
        <x:v>Preprint</x:v>
      </x:c>
      <x:c r="F21" s="14" t="str">
        <x:v>Attack/failure</x:v>
      </x:c>
      <x:c r="G21" s="14" t="str">
        <x:v>No</x:v>
      </x:c>
      <x:c r="H21" s="14" t="str">
        <x:v>Partial</x:v>
      </x:c>
      <x:c r="I21" s="14" t="str">
        <x:v>Partial</x:v>
      </x:c>
      <x:c r="J21" s="14" t="str">
        <x:v>No</x:v>
      </x:c>
      <x:c r="K21" s="14" t="str">
        <x:v>No</x:v>
      </x:c>
      <x:c r="L21" s="14" t="str">
        <x:v>2605.29960</x:v>
      </x:c>
    </x:row>
    <x:row r="22">
      <x:c r="A22" s="14" t="n">
        <x:v>32</x:v>
      </x:c>
      <x:c r="B22" s="14" t="str">
        <x:v>ShadowMerge: A Novel Poisoning Attack on Graph-Based Agent Memory via Relatio...</x:v>
      </x:c>
      <x:c r="C22" s="14" t="str">
        <x:v>Yang Luo et al.</x:v>
      </x:c>
      <x:c r="D22" s="14" t="n">
        <x:v>2026</x:v>
      </x:c>
      <x:c r="E22" s="14" t="str">
        <x:v>Preprint</x:v>
      </x:c>
      <x:c r="F22" s="14" t="str">
        <x:v>Attack/failure</x:v>
      </x:c>
      <x:c r="G22" s="14" t="str">
        <x:v>Partial</x:v>
      </x:c>
      <x:c r="H22" s="14" t="str">
        <x:v>Partial</x:v>
      </x:c>
      <x:c r="I22" s="14" t="str">
        <x:v>Partial</x:v>
      </x:c>
      <x:c r="J22" s="14" t="str">
        <x:v>Partial</x:v>
      </x:c>
      <x:c r="K22" s="14" t="str">
        <x:v>No</x:v>
      </x:c>
      <x:c r="L22" s="14" t="str">
        <x:v>2605.09033</x:v>
      </x:c>
    </x:row>
    <x:row r="23">
      <x:c r="A23" s="14" t="n">
        <x:v>33</x:v>
      </x:c>
      <x:c r="B23" s="14" t="str">
        <x:v>MRMMIA: Membership Inference Attacks on Memory in Chat Agents</x:v>
      </x:c>
      <x:c r="C23" s="14" t="str">
        <x:v>Kai Chen et al.</x:v>
      </x:c>
      <x:c r="D23" s="14" t="n">
        <x:v>2026</x:v>
      </x:c>
      <x:c r="E23" s="14" t="str">
        <x:v>Preprint</x:v>
      </x:c>
      <x:c r="F23" s="14" t="str">
        <x:v>Attack/failure</x:v>
      </x:c>
      <x:c r="G23" s="14" t="str">
        <x:v>No</x:v>
      </x:c>
      <x:c r="H23" s="14" t="str">
        <x:v>No</x:v>
      </x:c>
      <x:c r="I23" s="14" t="str">
        <x:v>No</x:v>
      </x:c>
      <x:c r="J23" s="14" t="str">
        <x:v>No</x:v>
      </x:c>
      <x:c r="K23" s="14" t="str">
        <x:v>No</x:v>
      </x:c>
      <x:c r="L23" s="14" t="str">
        <x:v>2605.27825</x:v>
      </x:c>
    </x:row>
    <x:row r="24">
      <x:c r="A24" s="14" t="n">
        <x:v>34</x:v>
      </x:c>
      <x:c r="B24" s="14" t="str">
        <x:v>VerificAgent: Domain-Specific Memory Verification for Scalable Oversight of A...</x:v>
      </x:c>
      <x:c r="C24" s="14" t="str">
        <x:v>Thong Q. Nguyen et al.</x:v>
      </x:c>
      <x:c r="D24" s="14" t="n">
        <x:v>2025</x:v>
      </x:c>
      <x:c r="E24" s="14" t="str">
        <x:v>Preprint</x:v>
      </x:c>
      <x:c r="F24" s="14" t="str">
        <x:v>Defence/system</x:v>
      </x:c>
      <x:c r="G24" s="14" t="str">
        <x:v>Partial</x:v>
      </x:c>
      <x:c r="H24" s="14" t="str">
        <x:v>Partial</x:v>
      </x:c>
      <x:c r="I24" s="14" t="str">
        <x:v>Partial</x:v>
      </x:c>
      <x:c r="J24" s="14" t="str">
        <x:v>No</x:v>
      </x:c>
      <x:c r="K24" s="14" t="str">
        <x:v>Partial</x:v>
      </x:c>
      <x:c r="L24" s="14" t="str">
        <x:v>2506.02539</x:v>
      </x:c>
    </x:row>
    <x:row r="25">
      <x:c r="A25" s="14" t="n">
        <x:v>35</x:v>
      </x:c>
      <x:c r="B25" s="14" t="str">
        <x:v>PROV-AGENT: Unified Provenance for Tracking AI Agent Interactions in Agentic ...</x:v>
      </x:c>
      <x:c r="C25" s="14" t="str">
        <x:v>Renan Souza et al.</x:v>
      </x:c>
      <x:c r="D25" s="14" t="n">
        <x:v>2025</x:v>
      </x:c>
      <x:c r="E25" s="14" t="str">
        <x:v>Peer-reviewed</x:v>
      </x:c>
      <x:c r="F25" s="14" t="str">
        <x:v>Defence/system</x:v>
      </x:c>
      <x:c r="G25" s="14" t="str">
        <x:v>Yes</x:v>
      </x:c>
      <x:c r="H25" s="14" t="str">
        <x:v>Yes</x:v>
      </x:c>
      <x:c r="I25" s="14" t="str">
        <x:v>Partial</x:v>
      </x:c>
      <x:c r="J25" s="14" t="str">
        <x:v>Partial</x:v>
      </x:c>
      <x:c r="K25" s="14" t="str">
        <x:v>Partial</x:v>
      </x:c>
      <x:c r="L25" s="14" t="str">
        <x:v>2508.02866</x:v>
      </x:c>
    </x:row>
    <x:row r="26">
      <x:c r="A26" s="14" t="n">
        <x:v>36</x:v>
      </x:c>
      <x:c r="B26" s="14" t="str">
        <x:v>MemOS: A Memory OS for AI System</x:v>
      </x:c>
      <x:c r="C26" s="14" t="str">
        <x:v>Zhiyu Li et al.</x:v>
      </x:c>
      <x:c r="D26" s="14" t="n">
        <x:v>2025</x:v>
      </x:c>
      <x:c r="E26" s="14" t="str">
        <x:v>Preprint</x:v>
      </x:c>
      <x:c r="F26" s="14" t="str">
        <x:v>Defence/system</x:v>
      </x:c>
      <x:c r="G26" s="14" t="str">
        <x:v>Yes</x:v>
      </x:c>
      <x:c r="H26" s="14" t="str">
        <x:v>Partial</x:v>
      </x:c>
      <x:c r="I26" s="14" t="str">
        <x:v>No</x:v>
      </x:c>
      <x:c r="J26" s="14" t="str">
        <x:v>Partial</x:v>
      </x:c>
      <x:c r="K26" s="14" t="str">
        <x:v>Yes</x:v>
      </x:c>
      <x:c r="L26" s="14" t="str">
        <x:v>2507.03724</x:v>
      </x:c>
    </x:row>
    <x:row r="27">
      <x:c r="A27" s="14" t="n">
        <x:v>37</x:v>
      </x:c>
      <x:c r="B27" s="14" t="str">
        <x:v>MemLineage: Lineage-Guided Enforcement for LLM Agent Memory</x:v>
      </x:c>
      <x:c r="C27" s="14" t="str">
        <x:v>Ciyan Ouyang and Rui Hou</x:v>
      </x:c>
      <x:c r="D27" s="14" t="n">
        <x:v>2026</x:v>
      </x:c>
      <x:c r="E27" s="14" t="str">
        <x:v>Preprint</x:v>
      </x:c>
      <x:c r="F27" s="14" t="str">
        <x:v>Defence/system</x:v>
      </x:c>
      <x:c r="G27" s="14" t="str">
        <x:v>Yes</x:v>
      </x:c>
      <x:c r="H27" s="14" t="str">
        <x:v>Yes</x:v>
      </x:c>
      <x:c r="I27" s="14" t="str">
        <x:v>Partial</x:v>
      </x:c>
      <x:c r="J27" s="14" t="str">
        <x:v>Yes</x:v>
      </x:c>
      <x:c r="K27" s="14" t="str">
        <x:v>Yes</x:v>
      </x:c>
      <x:c r="L27" s="14" t="str">
        <x:v>2605.14421</x:v>
      </x:c>
    </x:row>
    <x:row r="28">
      <x:c r="A28" s="14" t="n">
        <x:v>38</x:v>
      </x:c>
      <x:c r="B28" s="14" t="str">
        <x:v>Securing LLM-Agent Long-Term Memory Against Poisoning: Non-Malleable, Origin-Bound Authority with Machine-Checked Guarantees</x:v>
      </x:c>
      <x:c r="C28" s="14" t="str">
        <x:v>Yedidel Louck</x:v>
      </x:c>
      <x:c r="D28" s="14" t="n">
        <x:v>2026</x:v>
      </x:c>
      <x:c r="E28" s="14" t="str">
        <x:v>Preprint</x:v>
      </x:c>
      <x:c r="F28" s="14" t="str">
        <x:v>Defence/system</x:v>
      </x:c>
      <x:c r="G28" s="14" t="str">
        <x:v>Yes</x:v>
      </x:c>
      <x:c r="H28" s="14" t="str">
        <x:v>Yes</x:v>
      </x:c>
      <x:c r="I28" s="14" t="str">
        <x:v>Partial</x:v>
      </x:c>
      <x:c r="J28" s="14" t="str">
        <x:v>Partial</x:v>
      </x:c>
      <x:c r="K28" s="14" t="str">
        <x:v>Partial</x:v>
      </x:c>
      <x:c r="L28" s="14" t="str">
        <x:v>2606.24322</x:v>
      </x:c>
    </x:row>
    <x:row r="29">
      <x:c r="A29" s="14" t="n">
        <x:v>39</x:v>
      </x:c>
      <x:c r="B29" s="14" t="str">
        <x:v>MemAudit: Post-hoc Auditing of Poisoned Agent Memory via Causal Attribution and Structural Anomaly Detection</x:v>
      </x:c>
      <x:c r="C29" s="14" t="str">
        <x:v>Zhewen Tan et al.</x:v>
      </x:c>
      <x:c r="D29" s="14" t="n">
        <x:v>2026</x:v>
      </x:c>
      <x:c r="E29" s="14" t="str">
        <x:v>Preprint</x:v>
      </x:c>
      <x:c r="F29" s="14" t="str">
        <x:v>Defence/system</x:v>
      </x:c>
      <x:c r="G29" s="14" t="str">
        <x:v>Partial</x:v>
      </x:c>
      <x:c r="H29" s="14" t="str">
        <x:v>Yes</x:v>
      </x:c>
      <x:c r="I29" s="14" t="str">
        <x:v>Yes</x:v>
      </x:c>
      <x:c r="J29" s="14" t="str">
        <x:v>Partial</x:v>
      </x:c>
      <x:c r="K29" s="14" t="str">
        <x:v>Partial</x:v>
      </x:c>
      <x:c r="L29" s="14" t="str">
        <x:v>2605.23723</x:v>
      </x:c>
    </x:row>
    <x:row r="30">
      <x:c r="A30" s="14" t="n">
        <x:v>40</x:v>
      </x:c>
      <x:c r="B30" s="14" t="str">
        <x:v>Forensic Trajectory Signatures for Agent Memory Poisoning Detection</x:v>
      </x:c>
      <x:c r="C30" s="14" t="str">
        <x:v>Jun Wen Leong</x:v>
      </x:c>
      <x:c r="D30" s="14" t="n">
        <x:v>2026</x:v>
      </x:c>
      <x:c r="E30" s="14" t="str">
        <x:v>Preprint</x:v>
      </x:c>
      <x:c r="F30" s="14" t="str">
        <x:v>Defence/system</x:v>
      </x:c>
      <x:c r="G30" s="14" t="str">
        <x:v>No</x:v>
      </x:c>
      <x:c r="H30" s="14" t="str">
        <x:v>Yes</x:v>
      </x:c>
      <x:c r="I30" s="14" t="str">
        <x:v>Partial</x:v>
      </x:c>
      <x:c r="J30" s="14" t="str">
        <x:v>Partial</x:v>
      </x:c>
      <x:c r="K30" s="14" t="str">
        <x:v>No</x:v>
      </x:c>
      <x:c r="L30" s="14" t="str">
        <x:v>2606.30566</x:v>
      </x:c>
    </x:row>
    <x:row r="31">
      <x:c r="A31" s="14" t="n">
        <x:v>42</x:v>
      </x:c>
      <x:c r="B31" s="14" t="str">
        <x:v>A-MemGuard: A Proactive Defense Framework for LLM-Based Agent Memory</x:v>
      </x:c>
      <x:c r="C31" s="14" t="str">
        <x:v>Qianshan Wei et al.</x:v>
      </x:c>
      <x:c r="D31" s="14" t="n">
        <x:v>2025</x:v>
      </x:c>
      <x:c r="E31" s="14" t="str">
        <x:v>Preprint</x:v>
      </x:c>
      <x:c r="F31" s="14" t="str">
        <x:v>Defence/system</x:v>
      </x:c>
      <x:c r="G31" s="14" t="str">
        <x:v>Partial</x:v>
      </x:c>
      <x:c r="H31" s="14" t="str">
        <x:v>Partial</x:v>
      </x:c>
      <x:c r="I31" s="14" t="str">
        <x:v>Partial</x:v>
      </x:c>
      <x:c r="J31" s="14" t="str">
        <x:v>No</x:v>
      </x:c>
      <x:c r="K31" s="14" t="str">
        <x:v>Yes</x:v>
      </x:c>
      <x:c r="L31" s="14" t="str">
        <x:v>2510.02373</x:v>
      </x:c>
    </x:row>
    <x:row r="32">
      <x:c r="A32" s="14" t="n">
        <x:v>50</x:v>
      </x:c>
      <x:c r="B32" s="14" t="str">
        <x:v>Collaborative Memory: Multi-User Memory Sharing in LLM Agents with Dynamic Access Control</x:v>
      </x:c>
      <x:c r="C32" s="14" t="str">
        <x:v>Alireza Rezazadeh et al.</x:v>
      </x:c>
      <x:c r="D32" s="14" t="n">
        <x:v>2025</x:v>
      </x:c>
      <x:c r="E32" s="14" t="str">
        <x:v>Preprint</x:v>
      </x:c>
      <x:c r="F32" s="14" t="str">
        <x:v>Defence/system</x:v>
      </x:c>
      <x:c r="G32" s="14" t="str">
        <x:v>Yes</x:v>
      </x:c>
      <x:c r="H32" s="14" t="str">
        <x:v>Yes</x:v>
      </x:c>
      <x:c r="I32" s="14" t="str">
        <x:v>No</x:v>
      </x:c>
      <x:c r="J32" s="14" t="str">
        <x:v>Yes</x:v>
      </x:c>
      <x:c r="K32" s="14" t="str">
        <x:v>Partial</x:v>
      </x:c>
      <x:c r="L32" s="14" t="str">
        <x:v>2505.18279</x:v>
      </x:c>
    </x:row>
    <x:row r="33">
      <x:c r="A33" s="14" t="n">
        <x:v>53</x:v>
      </x:c>
      <x:c r="B33" s="14" t="str">
        <x:v>SuperLocalMemory: Privacy-Preserving Multi-Agent Memory with Bayesian Trust Defense Against Memory Poisoning</x:v>
      </x:c>
      <x:c r="C33" s="14" t="str">
        <x:v>Varun Pratap Bhardwaj</x:v>
      </x:c>
      <x:c r="D33" s="14" t="n">
        <x:v>2026</x:v>
      </x:c>
      <x:c r="E33" s="14" t="str">
        <x:v>Preprint</x:v>
      </x:c>
      <x:c r="F33" s="14" t="str">
        <x:v>Defence/system</x:v>
      </x:c>
      <x:c r="G33" s="14" t="str">
        <x:v>Yes</x:v>
      </x:c>
      <x:c r="H33" s="14" t="str">
        <x:v>Yes</x:v>
      </x:c>
      <x:c r="I33" s="14" t="str">
        <x:v>Partial</x:v>
      </x:c>
      <x:c r="J33" s="14" t="str">
        <x:v>Yes</x:v>
      </x:c>
      <x:c r="K33" s="14" t="str">
        <x:v>Yes</x:v>
      </x:c>
      <x:c r="L33" s="14" t="str">
        <x:v>2603.02240</x:v>
      </x:c>
    </x:row>
    <x:row r="34">
      <x:c r="A34" s="14" t="n">
        <x:v>54</x:v>
      </x:c>
      <x:c r="B34" s="14" t="str">
        <x:v>MEMSAD: Gradient-Coupled Anomaly Detection for Memory Poisoning in Retrieval-Augmented Agents</x:v>
      </x:c>
      <x:c r="C34" s="14" t="str">
        <x:v>Ishrith Gowda</x:v>
      </x:c>
      <x:c r="D34" s="14" t="n">
        <x:v>2026</x:v>
      </x:c>
      <x:c r="E34" s="14" t="str">
        <x:v>Preprint</x:v>
      </x:c>
      <x:c r="F34" s="14" t="str">
        <x:v>Defence/system</x:v>
      </x:c>
      <x:c r="G34" s="14" t="str">
        <x:v>Partial</x:v>
      </x:c>
      <x:c r="H34" s="14" t="str">
        <x:v>Partial</x:v>
      </x:c>
      <x:c r="I34" s="14" t="str">
        <x:v>No</x:v>
      </x:c>
      <x:c r="J34" s="14" t="str">
        <x:v>No</x:v>
      </x:c>
      <x:c r="K34" s="14" t="str">
        <x:v>No</x:v>
      </x:c>
      <x:c r="L34" s="14" t="str">
        <x:v>2605.03482</x:v>
      </x:c>
    </x:row>
    <x:row r="35">
      <x:c r="A35" s="14" t="n">
        <x:v>55</x:v>
      </x:c>
      <x:c r="B35" s="14" t="str">
        <x:v>Agentic Unlearning: When LLM Agent Meets Machine Unlearning</x:v>
      </x:c>
      <x:c r="C35" s="14" t="str">
        <x:v>Bin Wang et al.</x:v>
      </x:c>
      <x:c r="D35" s="14" t="n">
        <x:v>2026</x:v>
      </x:c>
      <x:c r="E35" s="14" t="str">
        <x:v>Preprint</x:v>
      </x:c>
      <x:c r="F35" s="14" t="str">
        <x:v>Defence/system</x:v>
      </x:c>
      <x:c r="G35" s="14" t="str">
        <x:v>Partial</x:v>
      </x:c>
      <x:c r="H35" s="14" t="str">
        <x:v>Partial</x:v>
      </x:c>
      <x:c r="I35" s="14" t="str">
        <x:v>Partial</x:v>
      </x:c>
      <x:c r="J35" s="14" t="str">
        <x:v>Yes</x:v>
      </x:c>
      <x:c r="K35" s="14" t="str">
        <x:v>Yes</x:v>
      </x:c>
      <x:c r="L35" s="14" t="str">
        <x:v>2602.17692</x:v>
      </x:c>
    </x:row>
    <x:row r="36">
      <x:c r="A36" s="14" t="n">
        <x:v>59</x:v>
      </x:c>
      <x:c r="B36" s="14" t="str">
        <x:v>Mem2ActBench: A Benchmark for Evaluating Long-Term Memory Utilization in Task-Oriented Autonomous Agents</x:v>
      </x:c>
      <x:c r="C36" s="14" t="str">
        <x:v>Yiting Shen et al.</x:v>
      </x:c>
      <x:c r="D36" s="14" t="n">
        <x:v>2026</x:v>
      </x:c>
      <x:c r="E36" s="14" t="str">
        <x:v>Peer-reviewed</x:v>
      </x:c>
      <x:c r="F36" s="14" t="str">
        <x:v>Benchmark</x:v>
      </x:c>
      <x:c r="G36" s="14" t="str">
        <x:v>No</x:v>
      </x:c>
      <x:c r="H36" s="14" t="str">
        <x:v>Partial</x:v>
      </x:c>
      <x:c r="I36" s="14" t="str">
        <x:v>Yes</x:v>
      </x:c>
      <x:c r="J36" s="14" t="str">
        <x:v>No</x:v>
      </x:c>
      <x:c r="K36" s="14" t="str">
        <x:v>No</x:v>
      </x:c>
      <x:c r="L36" s="14" t="str">
        <x:v>2601.19935</x:v>
      </x:c>
    </x:row>
    <x:row r="37">
      <x:c r="A37" s="14" t="n">
        <x:v>60</x:v>
      </x:c>
      <x:c r="B37" s="14" t="str">
        <x:v>GATEMEM: Benchmarking Memory Governance in Multi-Principal Shared-Memory Agents</x:v>
      </x:c>
      <x:c r="C37" s="14" t="str">
        <x:v>Zhe Ren et al.</x:v>
      </x:c>
      <x:c r="D37" s="14" t="n">
        <x:v>2026</x:v>
      </x:c>
      <x:c r="E37" s="14" t="str">
        <x:v>Preprint</x:v>
      </x:c>
      <x:c r="F37" s="14" t="str">
        <x:v>Benchmark</x:v>
      </x:c>
      <x:c r="G37" s="14" t="str">
        <x:v>Partial</x:v>
      </x:c>
      <x:c r="H37" s="14" t="str">
        <x:v>Yes</x:v>
      </x:c>
      <x:c r="I37" s="14" t="str">
        <x:v>Partial</x:v>
      </x:c>
      <x:c r="J37" s="14" t="str">
        <x:v>Yes</x:v>
      </x:c>
      <x:c r="K37" s="14" t="str">
        <x:v>Yes</x:v>
      </x:c>
      <x:c r="L37" s="14" t="str">
        <x:v>2606.18829</x:v>
      </x:c>
    </x:row>
    <x:row r="38">
      <x:c r="A38" s="14" t="n">
        <x:v>61</x:v>
      </x:c>
      <x:c r="B38" s="14" t="str">
        <x:v>CIMemories: A Compositional Benchmark for Contextual Integrity of Persistent Memory in LLMs</x:v>
      </x:c>
      <x:c r="C38" s="14" t="str">
        <x:v>Niloofar Mireshghallah et al.</x:v>
      </x:c>
      <x:c r="D38" s="14" t="n">
        <x:v>2025</x:v>
      </x:c>
      <x:c r="E38" s="14" t="str">
        <x:v>Preprint</x:v>
      </x:c>
      <x:c r="F38" s="14" t="str">
        <x:v>Benchmark</x:v>
      </x:c>
      <x:c r="G38" s="14" t="str">
        <x:v>Partial</x:v>
      </x:c>
      <x:c r="H38" s="14" t="str">
        <x:v>Partial</x:v>
      </x:c>
      <x:c r="I38" s="14" t="str">
        <x:v>Partial</x:v>
      </x:c>
      <x:c r="J38" s="14" t="str">
        <x:v>Partial</x:v>
      </x:c>
      <x:c r="K38" s="14" t="str">
        <x:v>No</x:v>
      </x:c>
      <x:c r="L38" s="14" t="str">
        <x:v>2511.14937</x:v>
      </x:c>
    </x:row>
    <x:row r="39">
      <x:c r="A39" s="14" t="n">
        <x:v>62</x:v>
      </x:c>
      <x:c r="B39" s="14" t="str">
        <x:v>PersistBench: When Should Long-Term Memories Be Forgotten by LLMs?</x:v>
      </x:c>
      <x:c r="C39" s="14" t="str">
        <x:v>Sidharth Pulipaka et al.</x:v>
      </x:c>
      <x:c r="D39" s="14" t="n">
        <x:v>2026</x:v>
      </x:c>
      <x:c r="E39" s="14" t="str">
        <x:v>Peer-reviewed</x:v>
      </x:c>
      <x:c r="F39" s="14" t="str">
        <x:v>Benchmark</x:v>
      </x:c>
      <x:c r="G39" s="14" t="str">
        <x:v>Partial</x:v>
      </x:c>
      <x:c r="H39" s="14" t="str">
        <x:v>Partial</x:v>
      </x:c>
      <x:c r="I39" s="14" t="str">
        <x:v>Partial</x:v>
      </x:c>
      <x:c r="J39" s="14" t="str">
        <x:v>No</x:v>
      </x:c>
      <x:c r="K39" s="14" t="str">
        <x:v>Yes</x:v>
      </x:c>
      <x:c r="L39" s="14" t="str">
        <x:v>2602.01146</x:v>
      </x:c>
    </x:row>
    <x:row r="40">
      <x:c r="A40" s="14" t="n">
        <x:v>65</x:v>
      </x:c>
      <x:c r="B40" s="14" t="str">
        <x:v>Agent Security Bench (ASB): Formalizing and Benchmarking Attacks and Defenses in LLM-Based Agents</x:v>
      </x:c>
      <x:c r="C40" s="14" t="str">
        <x:v>Hanrong Zhang et al.</x:v>
      </x:c>
      <x:c r="D40" s="14" t="n">
        <x:v>2025</x:v>
      </x:c>
      <x:c r="E40" s="14" t="str">
        <x:v>Peer-reviewed</x:v>
      </x:c>
      <x:c r="F40" s="14" t="str">
        <x:v>Benchmark</x:v>
      </x:c>
      <x:c r="G40" s="14" t="str">
        <x:v>No</x:v>
      </x:c>
      <x:c r="H40" s="14" t="str">
        <x:v>No</x:v>
      </x:c>
      <x:c r="I40" s="14" t="str">
        <x:v>Partial</x:v>
      </x:c>
      <x:c r="J40" s="14" t="str">
        <x:v>No</x:v>
      </x:c>
      <x:c r="K40" s="14" t="str">
        <x:v>No</x:v>
      </x:c>
      <x:c r="L40" s="14" t="str">
        <x:v>2410.02644</x:v>
      </x:c>
    </x:row>
    <x:row r="41">
      <x:c r="A41" s="14" t="n">
        <x:v>66</x:v>
      </x:c>
      <x:c r="B41" s="14" t="str">
        <x:v>MemSyco-Bench: Benchmarking Sycophancy in Agent Memory</x:v>
      </x:c>
      <x:c r="C41" s="14" t="str">
        <x:v>Zhishang Xiang et al.</x:v>
      </x:c>
      <x:c r="D41" s="14" t="n">
        <x:v>2026</x:v>
      </x:c>
      <x:c r="E41" s="14" t="str">
        <x:v>Preprint</x:v>
      </x:c>
      <x:c r="F41" s="14" t="str">
        <x:v>Benchmark</x:v>
      </x:c>
      <x:c r="G41" s="14" t="str">
        <x:v>No</x:v>
      </x:c>
      <x:c r="H41" s="14" t="str">
        <x:v>Partial</x:v>
      </x:c>
      <x:c r="I41" s="14" t="str">
        <x:v>Yes</x:v>
      </x:c>
      <x:c r="J41" s="14" t="str">
        <x:v>No</x:v>
      </x:c>
      <x:c r="K41" s="14" t="str">
        <x:v>No</x:v>
      </x:c>
      <x:c r="L41" s="14" t="str">
        <x:v>2607.01071</x:v>
      </x:c>
    </x:row>
    <x:row r="42">
      <x:c r="A42" s="14" t="n">
        <x:v>67</x:v>
      </x:c>
      <x:c r="B42" s="14" t="str">
        <x:v>AgentLAB: Benchmarking LLM Agents against Long-Horizon Attacks</x:v>
      </x:c>
      <x:c r="C42" s="14" t="str">
        <x:v>Tanqiu Jiang et al.</x:v>
      </x:c>
      <x:c r="D42" s="14" t="n">
        <x:v>2026</x:v>
      </x:c>
      <x:c r="E42" s="14" t="str">
        <x:v>Preprint</x:v>
      </x:c>
      <x:c r="F42" s="14" t="str">
        <x:v>Benchmark</x:v>
      </x:c>
      <x:c r="G42" s="14" t="str">
        <x:v>Partial</x:v>
      </x:c>
      <x:c r="H42" s="14" t="str">
        <x:v>Partial</x:v>
      </x:c>
      <x:c r="I42" s="14" t="str">
        <x:v>Partial</x:v>
      </x:c>
      <x:c r="J42" s="14" t="str">
        <x:v>Partial</x:v>
      </x:c>
      <x:c r="K42" s="14" t="str">
        <x:v>No</x:v>
      </x:c>
      <x:c r="L42" s="14" t="str">
        <x:v>2602.16901</x:v>
      </x:c>
    </x:row>
  </x:sheetData>
  <x:mergeCells>
    <x:mergeCell ref="A1:L1"/>
  </x:mergeCells>
  <x:conditionalFormatting sqref="G4:G42">
    <x:cfRule type="expression" dxfId="12" priority="1">
      <x:formula>G4="Yes"</x:formula>
    </x:cfRule>
    <x:cfRule type="expression" dxfId="13" priority="2">
      <x:formula>G4="Partial"</x:formula>
    </x:cfRule>
    <x:cfRule type="expression" dxfId="14" priority="3">
      <x:formula>G4="No"</x:formula>
    </x:cfRule>
  </x:conditionalFormatting>
  <x:conditionalFormatting sqref="H4:H42">
    <x:cfRule type="expression" dxfId="15" priority="4">
      <x:formula>H4="Yes"</x:formula>
    </x:cfRule>
    <x:cfRule type="expression" dxfId="16" priority="5">
      <x:formula>H4="Partial"</x:formula>
    </x:cfRule>
    <x:cfRule type="expression" dxfId="17" priority="6">
      <x:formula>H4="No"</x:formula>
    </x:cfRule>
  </x:conditionalFormatting>
  <x:conditionalFormatting sqref="I4:I42">
    <x:cfRule type="expression" dxfId="18" priority="7">
      <x:formula>I4="Yes"</x:formula>
    </x:cfRule>
    <x:cfRule type="expression" dxfId="19" priority="8">
      <x:formula>I4="Partial"</x:formula>
    </x:cfRule>
    <x:cfRule type="expression" dxfId="20" priority="9">
      <x:formula>I4="No"</x:formula>
    </x:cfRule>
  </x:conditionalFormatting>
  <x:conditionalFormatting sqref="J4:J42">
    <x:cfRule type="expression" dxfId="21" priority="10">
      <x:formula>J4="Yes"</x:formula>
    </x:cfRule>
    <x:cfRule type="expression" dxfId="22" priority="11">
      <x:formula>J4="Partial"</x:formula>
    </x:cfRule>
    <x:cfRule type="expression" dxfId="23" priority="12">
      <x:formula>J4="No"</x:formula>
    </x:cfRule>
  </x:conditionalFormatting>
  <x:conditionalFormatting sqref="K4:K42">
    <x:cfRule type="expression" dxfId="24" priority="13">
      <x:formula>K4="Yes"</x:formula>
    </x:cfRule>
    <x:cfRule type="expression" dxfId="25" priority="14">
      <x:formula>K4="Partial"</x:formula>
    </x:cfRule>
    <x:cfRule type="expression" dxfId="26" priority="15">
      <x:formula>K4="No"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9fd43079cd4c2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12" hidden="0" customWidth="1"/>
    <x:col min="4" max="4" width="22" hidden="0" customWidth="1"/>
    <x:col min="5" max="5" width="12" hidden="0" customWidth="1"/>
    <x:col min="6" max="6" width="15" hidden="0" customWidth="1"/>
    <x:col min="7" max="7" width="12" hidden="0" customWidth="1"/>
    <x:col min="8" max="8" width="48" hidden="0" customWidth="1"/>
  </x:cols>
  <x:sheetData>
    <x:row r="1">
      <x:c r="A1" s="30" t="str">
        <x:v>Reviewer-Requested Capability, Role, and Sensitivity Values</x:v>
      </x:c>
      <x:c r="B1" s="30"/>
      <x:c r="C1" s="30"/>
      <x:c r="D1" s="30"/>
      <x:c r="E1" s="30"/>
      <x:c r="F1" s="30"/>
      <x:c r="G1" s="30"/>
      <x:c r="H1" s="30"/>
    </x:row>
    <x:row r="3">
      <x:c r="A3" s="35" t="str">
        <x:v>Capability</x:v>
      </x:c>
      <x:c r="B3" s="35" t="str">
        <x:v>Yes</x:v>
      </x:c>
      <x:c r="C3" s="35" t="str">
        <x:v>Yes %</x:v>
      </x:c>
      <x:c r="D3" s="35" t="str">
        <x:v>Partial</x:v>
      </x:c>
      <x:c r="E3" s="35" t="str">
        <x:v>Partial %</x:v>
      </x:c>
      <x:c r="F3" s="35" t="str">
        <x:v>No</x:v>
      </x:c>
      <x:c r="G3" s="35" t="str">
        <x:v>No %</x:v>
      </x:c>
      <x:c r="H3" s="35" t="str">
        <x:v>Primary manuscript wording</x:v>
      </x:c>
    </x:row>
    <x:row r="4">
      <x:c r="A4" s="14" t="str">
        <x:v>Provenance</x:v>
      </x:c>
      <x:c r="B4" s="14" t="n">
        <x:f>COUNTIF('Appendix A Census'!$G$4:$G$42,"Yes")</x:f>
        <x:v>6</x:v>
      </x:c>
      <x:c r="C4" s="37" t="n">
        <x:f>B4/39</x:f>
        <x:v>0.15384615384615385</x:v>
      </x:c>
      <x:c r="D4" s="14" t="n">
        <x:f>COUNTIF('Appendix A Census'!$G$4:$G$42,"Partial")</x:f>
        <x:v>13</x:v>
      </x:c>
      <x:c r="E4" s="37" t="n">
        <x:f>D4/39</x:f>
        <x:v>0.3333333333333333</x:v>
      </x:c>
      <x:c r="F4" s="14" t="n">
        <x:f>COUNTIF('Appendix A Census'!$G$4:$G$42,"No")</x:f>
        <x:v>20</x:v>
      </x:c>
      <x:c r="G4" s="37" t="n">
        <x:f>F4/39</x:f>
        <x:v>0.5128205128205128</x:v>
      </x:c>
      <x:c r="H4" s="14" t="str">
        <x:v>6/39 explicitly support provenance or lineage.</x:v>
      </x:c>
    </x:row>
    <x:row r="5">
      <x:c r="A5" s="14" t="str">
        <x:v>Source attribution</x:v>
      </x:c>
      <x:c r="B5" s="14" t="n">
        <x:f>COUNTIF('Appendix A Census'!$H$4:$H$42,"Yes")</x:f>
        <x:v>8</x:v>
      </x:c>
      <x:c r="C5" s="37" t="n">
        <x:f>B5/39</x:f>
        <x:v>0.20512820512820512</x:v>
      </x:c>
      <x:c r="D5" s="14" t="n">
        <x:f>COUNTIF('Appendix A Census'!$H$4:$H$42,"Partial")</x:f>
        <x:v>28</x:v>
      </x:c>
      <x:c r="E5" s="37" t="n">
        <x:f>D5/39</x:f>
        <x:v>0.717948717948718</x:v>
      </x:c>
      <x:c r="F5" s="14" t="n">
        <x:f>COUNTIF('Appendix A Census'!$H$4:$H$42,"No")</x:f>
        <x:v>3</x:v>
      </x:c>
      <x:c r="G5" s="37" t="n">
        <x:f>F5/39</x:f>
        <x:v>0.07692307692307693</x:v>
      </x:c>
      <x:c r="H5" s="14" t="str">
        <x:v>8/39 explicitly support source attribution.</x:v>
      </x:c>
    </x:row>
    <x:row r="6">
      <x:c r="A6" s="14" t="str">
        <x:v>Causal reconstruction</x:v>
      </x:c>
      <x:c r="B6" s="14" t="n">
        <x:f>COUNTIF('Appendix A Census'!$I$4:$I$42,"Yes")</x:f>
        <x:v>9</x:v>
      </x:c>
      <x:c r="C6" s="37" t="n">
        <x:f>B6/39</x:f>
        <x:v>0.23076923076923078</x:v>
      </x:c>
      <x:c r="D6" s="14" t="n">
        <x:f>COUNTIF('Appendix A Census'!$I$4:$I$42,"Partial")</x:f>
        <x:v>26</x:v>
      </x:c>
      <x:c r="E6" s="37" t="n">
        <x:f>D6/39</x:f>
        <x:v>0.6666666666666666</x:v>
      </x:c>
      <x:c r="F6" s="14" t="n">
        <x:f>COUNTIF('Appendix A Census'!$I$4:$I$42,"No")</x:f>
        <x:v>4</x:v>
      </x:c>
      <x:c r="G6" s="37" t="n">
        <x:f>F6/39</x:f>
        <x:v>0.10256410256410256</x:v>
      </x:c>
      <x:c r="H6" s="14" t="str">
        <x:v>9/39 explicitly support causal reconstruction.</x:v>
      </x:c>
    </x:row>
    <x:row r="7">
      <x:c r="A7" s="14" t="str">
        <x:v>Blast-radius support</x:v>
      </x:c>
      <x:c r="B7" s="14" t="n">
        <x:f>COUNTIF('Appendix A Census'!$J$4:$J$42,"Yes")</x:f>
        <x:v>7</x:v>
      </x:c>
      <x:c r="C7" s="37" t="n">
        <x:f>B7/39</x:f>
        <x:v>0.1794871794871795</x:v>
      </x:c>
      <x:c r="D7" s="14" t="n">
        <x:f>COUNTIF('Appendix A Census'!$J$4:$J$42,"Partial")</x:f>
        <x:v>16</x:v>
      </x:c>
      <x:c r="E7" s="37" t="n">
        <x:f>D7/39</x:f>
        <x:v>0.41025641025641024</x:v>
      </x:c>
      <x:c r="F7" s="14" t="n">
        <x:f>COUNTIF('Appendix A Census'!$J$4:$J$42,"No")</x:f>
        <x:v>16</x:v>
      </x:c>
      <x:c r="G7" s="37" t="n">
        <x:f>F7/39</x:f>
        <x:v>0.41025641025641024</x:v>
      </x:c>
      <x:c r="H7" s="14" t="str">
        <x:v>7/39 explicitly support blast-radius analysis.</x:v>
      </x:c>
    </x:row>
    <x:row r="8">
      <x:c r="A8" s="14" t="str">
        <x:v>Recovery support</x:v>
      </x:c>
      <x:c r="B8" s="14" t="n">
        <x:f>COUNTIF('Appendix A Census'!$K$4:$K$42,"Yes")</x:f>
        <x:v>7</x:v>
      </x:c>
      <x:c r="C8" s="37" t="n">
        <x:f>B8/39</x:f>
        <x:v>0.1794871794871795</x:v>
      </x:c>
      <x:c r="D8" s="14" t="n">
        <x:f>COUNTIF('Appendix A Census'!$K$4:$K$42,"Partial")</x:f>
        <x:v>11</x:v>
      </x:c>
      <x:c r="E8" s="37" t="n">
        <x:f>D8/39</x:f>
        <x:v>0.28205128205128205</x:v>
      </x:c>
      <x:c r="F8" s="14" t="n">
        <x:f>COUNTIF('Appendix A Census'!$K$4:$K$42,"No")</x:f>
        <x:v>21</x:v>
      </x:c>
      <x:c r="G8" s="37" t="n">
        <x:f>F8/39</x:f>
        <x:v>0.5384615384615384</x:v>
      </x:c>
      <x:c r="H8" s="14" t="str">
        <x:v>7/39 explicitly support recovery.</x:v>
      </x:c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35" t="str">
        <x:v>Capability</x:v>
      </x:c>
      <x:c r="B11" s="35" t="str">
        <x:v>Attack/failure Yes (n=19)</x:v>
      </x:c>
      <x:c r="C11" s="35" t="str">
        <x:v>Defence/system Yes (n=12)</x:v>
      </x:c>
      <x:c r="D11" s="35" t="str">
        <x:v>Benchmark Yes (n=8)</x:v>
      </x:c>
      <x:c r="E11" s="35" t="str">
        <x:v>Full Yes (n=39)</x:v>
      </x:c>
      <x:c r="F11" s="35" t="str">
        <x:v>Arithmetic check</x:v>
      </x:c>
      <x:c r="G11" s="14"/>
      <x:c r="H11" s="14"/>
    </x:row>
    <x:row r="12">
      <x:c r="A12" s="14" t="str">
        <x:v>Provenance</x:v>
      </x:c>
      <x:c r="B12" s="14" t="n">
        <x:f>COUNTIFS('Appendix A Census'!$F$4:$F$42,"Attack/failure",'Appendix A Census'!$G$4:$G$42,"Yes")</x:f>
        <x:v>0</x:v>
      </x:c>
      <x:c r="C12" s="14" t="n">
        <x:f>COUNTIFS('Appendix A Census'!$F$4:$F$42,"Defence/system",'Appendix A Census'!$G$4:$G$42,"Yes")</x:f>
        <x:v>6</x:v>
      </x:c>
      <x:c r="D12" s="14" t="n">
        <x:f>COUNTIFS('Appendix A Census'!$F$4:$F$42,"Benchmark",'Appendix A Census'!$G$4:$G$42,"Yes")</x:f>
        <x:v>0</x:v>
      </x:c>
      <x:c r="E12" s="14" t="n">
        <x:f>SUM(B12:D12)</x:f>
        <x:v>6</x:v>
      </x:c>
      <x:c r="F12" s="14" t="str">
        <x:f>IF(E12=B4,"OK","CHECK")</x:f>
        <x:v>OK</x:v>
      </x:c>
      <x:c r="G12" s="14"/>
      <x:c r="H12" s="14"/>
    </x:row>
    <x:row r="13">
      <x:c r="A13" s="14" t="str">
        <x:v>Source attribution</x:v>
      </x:c>
      <x:c r="B13" s="14" t="n">
        <x:f>COUNTIFS('Appendix A Census'!$F$4:$F$42,"Attack/failure",'Appendix A Census'!$H$4:$H$42,"Yes")</x:f>
        <x:v>0</x:v>
      </x:c>
      <x:c r="C13" s="14" t="n">
        <x:f>COUNTIFS('Appendix A Census'!$F$4:$F$42,"Defence/system",'Appendix A Census'!$H$4:$H$42,"Yes")</x:f>
        <x:v>7</x:v>
      </x:c>
      <x:c r="D13" s="14" t="n">
        <x:f>COUNTIFS('Appendix A Census'!$F$4:$F$42,"Benchmark",'Appendix A Census'!$H$4:$H$42,"Yes")</x:f>
        <x:v>1</x:v>
      </x:c>
      <x:c r="E13" s="14" t="n">
        <x:f>SUM(B13:D13)</x:f>
        <x:v>8</x:v>
      </x:c>
      <x:c r="F13" s="14" t="str">
        <x:f>IF(E13=B5,"OK","CHECK")</x:f>
        <x:v>OK</x:v>
      </x:c>
      <x:c r="G13" s="14"/>
      <x:c r="H13" s="14"/>
    </x:row>
    <x:row r="14">
      <x:c r="A14" s="14" t="str">
        <x:v>Causal reconstruction</x:v>
      </x:c>
      <x:c r="B14" s="14" t="n">
        <x:f>COUNTIFS('Appendix A Census'!$F$4:$F$42,"Attack/failure",'Appendix A Census'!$I$4:$I$42,"Yes")</x:f>
        <x:v>6</x:v>
      </x:c>
      <x:c r="C14" s="14" t="n">
        <x:f>COUNTIFS('Appendix A Census'!$F$4:$F$42,"Defence/system",'Appendix A Census'!$I$4:$I$42,"Yes")</x:f>
        <x:v>1</x:v>
      </x:c>
      <x:c r="D14" s="14" t="n">
        <x:f>COUNTIFS('Appendix A Census'!$F$4:$F$42,"Benchmark",'Appendix A Census'!$I$4:$I$42,"Yes")</x:f>
        <x:v>2</x:v>
      </x:c>
      <x:c r="E14" s="14" t="n">
        <x:f>SUM(B14:D14)</x:f>
        <x:v>9</x:v>
      </x:c>
      <x:c r="F14" s="14" t="str">
        <x:f>IF(E14=B6,"OK","CHECK")</x:f>
        <x:v>OK</x:v>
      </x:c>
      <x:c r="G14" s="14"/>
      <x:c r="H14" s="14"/>
    </x:row>
    <x:row r="15">
      <x:c r="A15" s="14" t="str">
        <x:v>Blast-radius support</x:v>
      </x:c>
      <x:c r="B15" s="14" t="n">
        <x:f>COUNTIFS('Appendix A Census'!$F$4:$F$42,"Attack/failure",'Appendix A Census'!$J$4:$J$42,"Yes")</x:f>
        <x:v>2</x:v>
      </x:c>
      <x:c r="C15" s="14" t="n">
        <x:f>COUNTIFS('Appendix A Census'!$F$4:$F$42,"Defence/system",'Appendix A Census'!$J$4:$J$42,"Yes")</x:f>
        <x:v>4</x:v>
      </x:c>
      <x:c r="D15" s="14" t="n">
        <x:f>COUNTIFS('Appendix A Census'!$F$4:$F$42,"Benchmark",'Appendix A Census'!$J$4:$J$42,"Yes")</x:f>
        <x:v>1</x:v>
      </x:c>
      <x:c r="E15" s="14" t="n">
        <x:f>SUM(B15:D15)</x:f>
        <x:v>7</x:v>
      </x:c>
      <x:c r="F15" s="14" t="str">
        <x:f>IF(E15=B7,"OK","CHECK")</x:f>
        <x:v>OK</x:v>
      </x:c>
      <x:c r="G15" s="14"/>
      <x:c r="H15" s="14"/>
    </x:row>
    <x:row r="16">
      <x:c r="A16" s="14" t="str">
        <x:v>Recovery support</x:v>
      </x:c>
      <x:c r="B16" s="14" t="n">
        <x:f>COUNTIFS('Appendix A Census'!$F$4:$F$42,"Attack/failure",'Appendix A Census'!$K$4:$K$42,"Yes")</x:f>
        <x:v>0</x:v>
      </x:c>
      <x:c r="C16" s="14" t="n">
        <x:f>COUNTIFS('Appendix A Census'!$F$4:$F$42,"Defence/system",'Appendix A Census'!$K$4:$K$42,"Yes")</x:f>
        <x:v>5</x:v>
      </x:c>
      <x:c r="D16" s="14" t="n">
        <x:f>COUNTIFS('Appendix A Census'!$F$4:$F$42,"Benchmark",'Appendix A Census'!$K$4:$K$42,"Yes")</x:f>
        <x:v>2</x:v>
      </x:c>
      <x:c r="E16" s="14" t="n">
        <x:f>SUM(B16:D16)</x:f>
        <x:v>7</x:v>
      </x:c>
      <x:c r="F16" s="14" t="str">
        <x:f>IF(E16=B8,"OK","CHECK")</x:f>
        <x:v>OK</x:v>
      </x:c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35" t="str">
        <x:v>Capability</x:v>
      </x:c>
      <x:c r="B19" s="35" t="str">
        <x:v>Subset</x:v>
      </x:c>
      <x:c r="C19" s="35" t="str">
        <x:v>n</x:v>
      </x:c>
      <x:c r="D19" s="35" t="str">
        <x:v>Explicit Yes</x:v>
      </x:c>
      <x:c r="E19" s="35" t="str">
        <x:v>Explicit %</x:v>
      </x:c>
      <x:c r="F19" s="35" t="str">
        <x:v>Interpretation</x:v>
      </x:c>
      <x:c r="G19" s="14"/>
      <x:c r="H19" s="14"/>
    </x:row>
    <x:row r="20">
      <x:c r="A20" s="14" t="str">
        <x:v>Provenance</x:v>
      </x:c>
      <x:c r="B20" s="14" t="str">
        <x:v>Full core</x:v>
      </x:c>
      <x:c r="C20" s="14" t="n">
        <x:v>39</x:v>
      </x:c>
      <x:c r="D20" s="14" t="n">
        <x:f>COUNTIF('Appendix A Census'!$G$4:$G$42,"Yes")</x:f>
        <x:v>6</x:v>
      </x:c>
      <x:c r="E20" s="37" t="n">
        <x:f>D20/C20</x:f>
        <x:v>0.15384615384615385</x:v>
      </x:c>
      <x:c r="F20" s="14" t="str">
        <x:v>Directional descriptive sensitivity; report raw fraction first.</x:v>
      </x:c>
      <x:c r="G20" s="14"/>
      <x:c r="H20" s="14"/>
    </x:row>
    <x:row r="21">
      <x:c r="A21" s="14" t="str">
        <x:v>Provenance</x:v>
      </x:c>
      <x:c r="B21" s="14" t="str">
        <x:v>Non-benchmark</x:v>
      </x:c>
      <x:c r="C21" s="14" t="n">
        <x:v>31</x:v>
      </x:c>
      <x:c r="D21" s="14" t="n">
        <x:f>COUNTIFS('Appendix A Census'!$F$4:$F$42,"&lt;&gt;Benchmark",'Appendix A Census'!$G$4:$G$42,"Yes")</x:f>
        <x:v>6</x:v>
      </x:c>
      <x:c r="E21" s="37" t="n">
        <x:f>D21/C21</x:f>
        <x:v>0.1935483870967742</x:v>
      </x:c>
      <x:c r="F21" s="14" t="str">
        <x:v>Directional descriptive sensitivity; report raw fraction first.</x:v>
      </x:c>
      <x:c r="G21" s="14"/>
      <x:c r="H21" s="14"/>
    </x:row>
    <x:row r="22">
      <x:c r="A22" s="14" t="str">
        <x:v>Provenance</x:v>
      </x:c>
      <x:c r="B22" s="14" t="str">
        <x:v>Peer-reviewed only</x:v>
      </x:c>
      <x:c r="C22" s="14" t="n">
        <x:v>9</x:v>
      </x:c>
      <x:c r="D22" s="14" t="n">
        <x:f>COUNTIFS('Appendix A Census'!$E$4:$E$42,"Peer-reviewed",'Appendix A Census'!$G$4:$G$42,"Yes")+COUNTIFS('Appendix A Census'!$E$4:$E$42,"Peer-reviewed workshop",'Appendix A Census'!$G$4:$G$42,"Yes")</x:f>
        <x:v>1</x:v>
      </x:c>
      <x:c r="E22" s="37" t="n">
        <x:f>D22/C22</x:f>
        <x:v>0.1111111111111111</x:v>
      </x:c>
      <x:c r="F22" s="14" t="str">
        <x:v>Directional descriptive sensitivity; report raw fraction first.</x:v>
      </x:c>
      <x:c r="G22" s="14"/>
      <x:c r="H22" s="14"/>
    </x:row>
    <x:row r="23">
      <x:c r="A23" s="14" t="str">
        <x:v>Source attribution</x:v>
      </x:c>
      <x:c r="B23" s="14" t="str">
        <x:v>Full core</x:v>
      </x:c>
      <x:c r="C23" s="14" t="n">
        <x:v>39</x:v>
      </x:c>
      <x:c r="D23" s="14" t="n">
        <x:f>COUNTIF('Appendix A Census'!$H$4:$H$42,"Yes")</x:f>
        <x:v>8</x:v>
      </x:c>
      <x:c r="E23" s="37" t="n">
        <x:f>D23/C23</x:f>
        <x:v>0.20512820512820512</x:v>
      </x:c>
      <x:c r="F23" s="14" t="str">
        <x:v>Directional descriptive sensitivity; report raw fraction first.</x:v>
      </x:c>
      <x:c r="G23" s="14"/>
      <x:c r="H23" s="14"/>
    </x:row>
    <x:row r="24">
      <x:c r="A24" s="14" t="str">
        <x:v>Source attribution</x:v>
      </x:c>
      <x:c r="B24" s="14" t="str">
        <x:v>Non-benchmark</x:v>
      </x:c>
      <x:c r="C24" s="14" t="n">
        <x:v>31</x:v>
      </x:c>
      <x:c r="D24" s="14" t="n">
        <x:f>COUNTIFS('Appendix A Census'!$F$4:$F$42,"&lt;&gt;Benchmark",'Appendix A Census'!$H$4:$H$42,"Yes")</x:f>
        <x:v>7</x:v>
      </x:c>
      <x:c r="E24" s="37" t="n">
        <x:f>D24/C24</x:f>
        <x:v>0.22580645161290322</x:v>
      </x:c>
      <x:c r="F24" s="14" t="str">
        <x:v>Directional descriptive sensitivity; report raw fraction first.</x:v>
      </x:c>
      <x:c r="G24" s="14"/>
      <x:c r="H24" s="14"/>
    </x:row>
    <x:row r="25">
      <x:c r="A25" s="14" t="str">
        <x:v>Source attribution</x:v>
      </x:c>
      <x:c r="B25" s="14" t="str">
        <x:v>Peer-reviewed only</x:v>
      </x:c>
      <x:c r="C25" s="14" t="n">
        <x:v>9</x:v>
      </x:c>
      <x:c r="D25" s="14" t="n">
        <x:f>COUNTIFS('Appendix A Census'!$E$4:$E$42,"Peer-reviewed",'Appendix A Census'!$H$4:$H$42,"Yes")+COUNTIFS('Appendix A Census'!$E$4:$E$42,"Peer-reviewed workshop",'Appendix A Census'!$H$4:$H$42,"Yes")</x:f>
        <x:v>1</x:v>
      </x:c>
      <x:c r="E25" s="37" t="n">
        <x:f>D25/C25</x:f>
        <x:v>0.1111111111111111</x:v>
      </x:c>
      <x:c r="F25" s="14" t="str">
        <x:v>Directional descriptive sensitivity; report raw fraction first.</x:v>
      </x:c>
      <x:c r="G25" s="14"/>
      <x:c r="H25" s="14"/>
    </x:row>
    <x:row r="26">
      <x:c r="A26" s="14" t="str">
        <x:v>Causal reconstruction</x:v>
      </x:c>
      <x:c r="B26" s="14" t="str">
        <x:v>Full core</x:v>
      </x:c>
      <x:c r="C26" s="14" t="n">
        <x:v>39</x:v>
      </x:c>
      <x:c r="D26" s="14" t="n">
        <x:f>COUNTIF('Appendix A Census'!$I$4:$I$42,"Yes")</x:f>
        <x:v>9</x:v>
      </x:c>
      <x:c r="E26" s="37" t="n">
        <x:f>D26/C26</x:f>
        <x:v>0.23076923076923078</x:v>
      </x:c>
      <x:c r="F26" s="14" t="str">
        <x:v>Directional descriptive sensitivity; report raw fraction first.</x:v>
      </x:c>
      <x:c r="G26" s="14"/>
      <x:c r="H26" s="14"/>
    </x:row>
    <x:row r="27">
      <x:c r="A27" s="14" t="str">
        <x:v>Causal reconstruction</x:v>
      </x:c>
      <x:c r="B27" s="14" t="str">
        <x:v>Non-benchmark</x:v>
      </x:c>
      <x:c r="C27" s="14" t="n">
        <x:v>31</x:v>
      </x:c>
      <x:c r="D27" s="14" t="n">
        <x:f>COUNTIFS('Appendix A Census'!$F$4:$F$42,"&lt;&gt;Benchmark",'Appendix A Census'!$I$4:$I$42,"Yes")</x:f>
        <x:v>7</x:v>
      </x:c>
      <x:c r="E27" s="37" t="n">
        <x:f>D27/C27</x:f>
        <x:v>0.22580645161290322</x:v>
      </x:c>
      <x:c r="F27" s="14" t="str">
        <x:v>Directional descriptive sensitivity; report raw fraction first.</x:v>
      </x:c>
      <x:c r="G27" s="14"/>
      <x:c r="H27" s="14"/>
    </x:row>
    <x:row r="28">
      <x:c r="A28" s="14" t="str">
        <x:v>Causal reconstruction</x:v>
      </x:c>
      <x:c r="B28" s="14" t="str">
        <x:v>Peer-reviewed only</x:v>
      </x:c>
      <x:c r="C28" s="14" t="n">
        <x:v>9</x:v>
      </x:c>
      <x:c r="D28" s="14" t="n">
        <x:f>COUNTIFS('Appendix A Census'!$E$4:$E$42,"Peer-reviewed",'Appendix A Census'!$I$4:$I$42,"Yes")+COUNTIFS('Appendix A Census'!$E$4:$E$42,"Peer-reviewed workshop",'Appendix A Census'!$I$4:$I$42,"Yes")</x:f>
        <x:v>1</x:v>
      </x:c>
      <x:c r="E28" s="37" t="n">
        <x:f>D28/C28</x:f>
        <x:v>0.1111111111111111</x:v>
      </x:c>
      <x:c r="F28" s="14" t="str">
        <x:v>Directional descriptive sensitivity; report raw fraction first.</x:v>
      </x:c>
      <x:c r="G28" s="14"/>
      <x:c r="H28" s="14"/>
    </x:row>
    <x:row r="29">
      <x:c r="A29" s="14" t="str">
        <x:v>Blast-radius support</x:v>
      </x:c>
      <x:c r="B29" s="14" t="str">
        <x:v>Full core</x:v>
      </x:c>
      <x:c r="C29" s="14" t="n">
        <x:v>39</x:v>
      </x:c>
      <x:c r="D29" s="14" t="n">
        <x:f>COUNTIF('Appendix A Census'!$J$4:$J$42,"Yes")</x:f>
        <x:v>7</x:v>
      </x:c>
      <x:c r="E29" s="37" t="n">
        <x:f>D29/C29</x:f>
        <x:v>0.1794871794871795</x:v>
      </x:c>
      <x:c r="F29" s="14" t="str">
        <x:v>Directional descriptive sensitivity; report raw fraction first.</x:v>
      </x:c>
      <x:c r="G29" s="14"/>
      <x:c r="H29" s="14"/>
    </x:row>
    <x:row r="30">
      <x:c r="A30" s="14" t="str">
        <x:v>Blast-radius support</x:v>
      </x:c>
      <x:c r="B30" s="14" t="str">
        <x:v>Non-benchmark</x:v>
      </x:c>
      <x:c r="C30" s="14" t="n">
        <x:v>31</x:v>
      </x:c>
      <x:c r="D30" s="14" t="n">
        <x:f>COUNTIFS('Appendix A Census'!$F$4:$F$42,"&lt;&gt;Benchmark",'Appendix A Census'!$J$4:$J$42,"Yes")</x:f>
        <x:v>6</x:v>
      </x:c>
      <x:c r="E30" s="37" t="n">
        <x:f>D30/C30</x:f>
        <x:v>0.1935483870967742</x:v>
      </x:c>
      <x:c r="F30" s="14" t="str">
        <x:v>Directional descriptive sensitivity; report raw fraction first.</x:v>
      </x:c>
      <x:c r="G30" s="14"/>
      <x:c r="H30" s="14"/>
    </x:row>
    <x:row r="31">
      <x:c r="A31" s="14" t="str">
        <x:v>Blast-radius support</x:v>
      </x:c>
      <x:c r="B31" s="14" t="str">
        <x:v>Peer-reviewed only</x:v>
      </x:c>
      <x:c r="C31" s="14" t="n">
        <x:v>9</x:v>
      </x:c>
      <x:c r="D31" s="14" t="n">
        <x:f>COUNTIFS('Appendix A Census'!$E$4:$E$42,"Peer-reviewed",'Appendix A Census'!$J$4:$J$42,"Yes")+COUNTIFS('Appendix A Census'!$E$4:$E$42,"Peer-reviewed workshop",'Appendix A Census'!$J$4:$J$42,"Yes")</x:f>
        <x:v>1</x:v>
      </x:c>
      <x:c r="E31" s="37" t="n">
        <x:f>D31/C31</x:f>
        <x:v>0.1111111111111111</x:v>
      </x:c>
      <x:c r="F31" s="14" t="str">
        <x:v>Directional descriptive sensitivity; report raw fraction first.</x:v>
      </x:c>
      <x:c r="G31" s="14"/>
      <x:c r="H31" s="14"/>
    </x:row>
    <x:row r="32">
      <x:c r="A32" s="14" t="str">
        <x:v>Recovery support</x:v>
      </x:c>
      <x:c r="B32" s="14" t="str">
        <x:v>Full core</x:v>
      </x:c>
      <x:c r="C32" s="14" t="n">
        <x:v>39</x:v>
      </x:c>
      <x:c r="D32" s="14" t="n">
        <x:f>COUNTIF('Appendix A Census'!$K$4:$K$42,"Yes")</x:f>
        <x:v>7</x:v>
      </x:c>
      <x:c r="E32" s="37" t="n">
        <x:f>D32/C32</x:f>
        <x:v>0.1794871794871795</x:v>
      </x:c>
      <x:c r="F32" s="14" t="str">
        <x:v>Directional descriptive sensitivity; report raw fraction first.</x:v>
      </x:c>
      <x:c r="G32" s="14"/>
      <x:c r="H32" s="14"/>
    </x:row>
    <x:row r="33">
      <x:c r="A33" s="14" t="str">
        <x:v>Recovery support</x:v>
      </x:c>
      <x:c r="B33" s="14" t="str">
        <x:v>Non-benchmark</x:v>
      </x:c>
      <x:c r="C33" s="14" t="n">
        <x:v>31</x:v>
      </x:c>
      <x:c r="D33" s="14" t="n">
        <x:f>COUNTIFS('Appendix A Census'!$F$4:$F$42,"&lt;&gt;Benchmark",'Appendix A Census'!$K$4:$K$42,"Yes")</x:f>
        <x:v>5</x:v>
      </x:c>
      <x:c r="E33" s="37" t="n">
        <x:f>D33/C33</x:f>
        <x:v>0.16129032258064516</x:v>
      </x:c>
      <x:c r="F33" s="14" t="str">
        <x:v>Directional descriptive sensitivity; report raw fraction first.</x:v>
      </x:c>
      <x:c r="G33" s="14"/>
      <x:c r="H33" s="14"/>
    </x:row>
    <x:row r="34">
      <x:c r="A34" s="14" t="str">
        <x:v>Recovery support</x:v>
      </x:c>
      <x:c r="B34" s="14" t="str">
        <x:v>Peer-reviewed only</x:v>
      </x:c>
      <x:c r="C34" s="14" t="n">
        <x:v>9</x:v>
      </x:c>
      <x:c r="D34" s="14" t="n">
        <x:f>COUNTIFS('Appendix A Census'!$E$4:$E$42,"Peer-reviewed",'Appendix A Census'!$K$4:$K$42,"Yes")+COUNTIFS('Appendix A Census'!$E$4:$E$42,"Peer-reviewed workshop",'Appendix A Census'!$K$4:$K$42,"Yes")</x:f>
        <x:v>1</x:v>
      </x:c>
      <x:c r="E34" s="37" t="n">
        <x:f>D34/C34</x:f>
        <x:v>0.1111111111111111</x:v>
      </x:c>
      <x:c r="F34" s="14" t="str">
        <x:v>Directional descriptive sensitivity; report raw fraction first.</x:v>
      </x:c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  <x:row r="36">
      <x:c r="A36" s="14"/>
      <x:c r="B36" s="14"/>
      <x:c r="C36" s="14"/>
      <x:c r="D36" s="14"/>
      <x:c r="E36" s="14"/>
      <x:c r="F36" s="14"/>
      <x:c r="G36" s="14"/>
      <x:c r="H36" s="14"/>
    </x:row>
    <x:row r="37">
      <x:c r="A37" s="35" t="str">
        <x:v>Capability</x:v>
      </x:c>
      <x:c r="B37" s="35" t="str">
        <x:v>Current Yes</x:v>
      </x:c>
      <x:c r="C37" s="35" t="str">
        <x:v>Partial→Yes recodes to exceed 25% (10/39)</x:v>
      </x:c>
      <x:c r="D37" s="35" t="str">
        <x:v>Partial→Yes recodes to reach 13/39</x:v>
      </x:c>
      <x:c r="E37" s="14"/>
      <x:c r="F37" s="14"/>
      <x:c r="G37" s="14"/>
      <x:c r="H37" s="14"/>
    </x:row>
    <x:row r="38">
      <x:c r="A38" s="14" t="str">
        <x:v>Provenance</x:v>
      </x:c>
      <x:c r="B38" s="14" t="n">
        <x:f>B4</x:f>
        <x:v>6</x:v>
      </x:c>
      <x:c r="C38" s="14" t="n">
        <x:f>MAX(0,10-B38)</x:f>
        <x:v>4</x:v>
      </x:c>
      <x:c r="D38" s="14" t="n">
        <x:f>MAX(0,13-B38)</x:f>
        <x:v>7</x:v>
      </x:c>
      <x:c r="E38" s="14"/>
      <x:c r="F38" s="14"/>
      <x:c r="G38" s="14"/>
      <x:c r="H38" s="14"/>
    </x:row>
    <x:row r="39">
      <x:c r="A39" s="14" t="str">
        <x:v>Source attribution</x:v>
      </x:c>
      <x:c r="B39" s="14" t="n">
        <x:f>B5</x:f>
        <x:v>8</x:v>
      </x:c>
      <x:c r="C39" s="14" t="n">
        <x:f>MAX(0,10-B39)</x:f>
        <x:v>2</x:v>
      </x:c>
      <x:c r="D39" s="14" t="n">
        <x:f>MAX(0,13-B39)</x:f>
        <x:v>5</x:v>
      </x:c>
      <x:c r="E39" s="14"/>
      <x:c r="F39" s="14"/>
      <x:c r="G39" s="14"/>
      <x:c r="H39" s="14"/>
    </x:row>
    <x:row r="40">
      <x:c r="A40" s="14" t="str">
        <x:v>Causal reconstruction</x:v>
      </x:c>
      <x:c r="B40" s="14" t="n">
        <x:f>B6</x:f>
        <x:v>9</x:v>
      </x:c>
      <x:c r="C40" s="14" t="n">
        <x:f>MAX(0,10-B40)</x:f>
        <x:v>1</x:v>
      </x:c>
      <x:c r="D40" s="14" t="n">
        <x:f>MAX(0,13-B40)</x:f>
        <x:v>4</x:v>
      </x:c>
      <x:c r="E40" s="14"/>
      <x:c r="F40" s="14"/>
      <x:c r="G40" s="14"/>
      <x:c r="H40" s="14"/>
    </x:row>
    <x:row r="41">
      <x:c r="A41" s="14" t="str">
        <x:v>Blast-radius support</x:v>
      </x:c>
      <x:c r="B41" s="14" t="n">
        <x:f>B7</x:f>
        <x:v>7</x:v>
      </x:c>
      <x:c r="C41" s="14" t="n">
        <x:f>MAX(0,10-B41)</x:f>
        <x:v>3</x:v>
      </x:c>
      <x:c r="D41" s="14" t="n">
        <x:f>MAX(0,13-B41)</x:f>
        <x:v>6</x:v>
      </x:c>
      <x:c r="E41" s="14"/>
      <x:c r="F41" s="14"/>
      <x:c r="G41" s="14"/>
      <x:c r="H41" s="14"/>
    </x:row>
    <x:row r="42">
      <x:c r="A42" s="14" t="str">
        <x:v>Recovery support</x:v>
      </x:c>
      <x:c r="B42" s="14" t="n">
        <x:f>B8</x:f>
        <x:v>7</x:v>
      </x:c>
      <x:c r="C42" s="14" t="n">
        <x:f>MAX(0,10-B42)</x:f>
        <x:v>3</x:v>
      </x:c>
      <x:c r="D42" s="14" t="n">
        <x:f>MAX(0,13-B42)</x:f>
        <x:v>6</x:v>
      </x:c>
      <x:c r="E42" s="14"/>
      <x:c r="F42" s="14"/>
      <x:c r="G42" s="14"/>
      <x:c r="H42" s="14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0" hidden="0" customWidth="1"/>
    <x:col min="4" max="4" width="13" hidden="0" customWidth="1"/>
    <x:col min="5" max="5" width="30" hidden="0" customWidth="1"/>
    <x:col min="6" max="6" width="46" hidden="0" customWidth="1"/>
  </x:cols>
  <x:sheetData>
    <x:row r="1">
      <x:c r="A1" s="30" t="str">
        <x:v>Attack/Failure Study Distribution (n = 19)</x:v>
      </x:c>
      <x:c r="B1" s="30"/>
      <x:c r="C1" s="30"/>
      <x:c r="D1" s="30"/>
      <x:c r="E1" s="30"/>
      <x:c r="F1" s="30"/>
    </x:row>
    <x:row r="3">
      <x:c r="A3" s="35" t="str">
        <x:v>Dimension</x:v>
      </x:c>
      <x:c r="B3" s="35" t="str">
        <x:v>Category</x:v>
      </x:c>
      <x:c r="C3" s="35" t="str">
        <x:v>Count</x:v>
      </x:c>
      <x:c r="D3" s="35" t="str">
        <x:v>Share of 19</x:v>
      </x:c>
      <x:c r="E3" s="35" t="str">
        <x:v>Study IDs</x:v>
      </x:c>
      <x:c r="F3" s="35" t="str">
        <x:v>Coding note</x:v>
      </x:c>
    </x:row>
    <x:row r="4">
      <x:c r="A4" s="14" t="str">
        <x:v>Entry channel</x:v>
      </x:c>
      <x:c r="B4" s="14" t="str">
        <x:v>Direct privileged store/KB write</x:v>
      </x:c>
      <x:c r="C4" s="14" t="n">
        <x:v>1</x:v>
      </x:c>
      <x:c r="D4" s="37" t="n">
        <x:v>0.05263157894736842</x:v>
      </x:c>
      <x:c r="E4" s="14" t="str">
        <x:v>10</x:v>
      </x:c>
      <x:c r="F4" s="14" t="str">
        <x:v>Mutually exclusive normalized entry-channel coding.</x:v>
      </x:c>
    </x:row>
    <x:row r="5">
      <x:c r="A5" s="14" t="str">
        <x:v>Entry channel</x:v>
      </x:c>
      <x:c r="B5" s="14" t="str">
        <x:v>Query-only or conversational interaction</x:v>
      </x:c>
      <x:c r="C5" s="14" t="n">
        <x:v>6</x:v>
      </x:c>
      <x:c r="D5" s="37" t="n">
        <x:v>0.3157894736842105</x:v>
      </x:c>
      <x:c r="E5" s="14" t="str">
        <x:v>11, 12, 14, 30, 31, 33</x:v>
      </x:c>
      <x:c r="F5" s="14" t="str">
        <x:v>Mutually exclusive normalized entry-channel coding.</x:v>
      </x:c>
    </x:row>
    <x:row r="6">
      <x:c r="A6" s="14" t="str">
        <x:v>Entry channel</x:v>
      </x:c>
      <x:c r="B6" s="14" t="str">
        <x:v>External content, webpage, email or tool output</x:v>
      </x:c>
      <x:c r="C6" s="14" t="n">
        <x:v>4</x:v>
      </x:c>
      <x:c r="D6" s="37" t="n">
        <x:v>0.21052631578947367</x:v>
      </x:c>
      <x:c r="E6" s="14" t="str">
        <x:v>13, 17, 18, 21</x:v>
      </x:c>
      <x:c r="F6" s="14" t="str">
        <x:v>Mutually exclusive normalized entry-channel coding.</x:v>
      </x:c>
    </x:row>
    <x:row r="7">
      <x:c r="A7" s="14" t="str">
        <x:v>Entry channel</x:v>
      </x:c>
      <x:c r="B7" s="14" t="str">
        <x:v>Injected memory artefact, experience or policy</x:v>
      </x:c>
      <x:c r="C7" s="14" t="n">
        <x:v>4</x:v>
      </x:c>
      <x:c r="D7" s="37" t="n">
        <x:v>0.21052631578947367</x:v>
      </x:c>
      <x:c r="E7" s="14" t="str">
        <x:v>15, 16, 20, 32</x:v>
      </x:c>
      <x:c r="F7" s="14" t="str">
        <x:v>Mutually exclusive normalized entry-channel coding.</x:v>
      </x:c>
    </x:row>
    <x:row r="8">
      <x:c r="A8" s="14" t="str">
        <x:v>Entry channel</x:v>
      </x:c>
      <x:c r="B8" s="14" t="str">
        <x:v>Shared, multimodal or peer-mediated channel</x:v>
      </x:c>
      <x:c r="C8" s="14" t="n">
        <x:v>3</x:v>
      </x:c>
      <x:c r="D8" s="37" t="n">
        <x:v>0.15789473684210525</x:v>
      </x:c>
      <x:c r="E8" s="14" t="str">
        <x:v>22, 24, 26</x:v>
      </x:c>
      <x:c r="F8" s="14" t="str">
        <x:v>Mutually exclusive normalized entry-channel coding.</x:v>
      </x:c>
    </x:row>
    <x:row r="9">
      <x:c r="A9" s="14" t="str">
        <x:v>Entry channel</x:v>
      </x:c>
      <x:c r="B9" s="14" t="str">
        <x:v>Adjacent durable state (file/tool/skill)</x:v>
      </x:c>
      <x:c r="C9" s="14" t="n">
        <x:v>1</x:v>
      </x:c>
      <x:c r="D9" s="37" t="n">
        <x:v>0.05263157894736842</x:v>
      </x:c>
      <x:c r="E9" s="14" t="str">
        <x:v>29</x:v>
      </x:c>
      <x:c r="F9" s="14" t="str">
        <x:v>Mutually exclusive normalized entry-channel coding.</x:v>
      </x:c>
    </x:row>
    <x:row r="10">
      <x:c r="A10" s="14" t="str">
        <x:v>Targeted operation</x:v>
      </x:c>
      <x:c r="B10" s="14" t="str">
        <x:v>Store</x:v>
      </x:c>
      <x:c r="C10" s="14" t="n">
        <x:v>2</x:v>
      </x:c>
      <x:c r="D10" s="37" t="n">
        <x:v>0.10526315789473684</x:v>
      </x:c>
      <x:c r="E10" s="14" t="str">
        <x:v>Derived from lifecycle-point field</x:v>
      </x:c>
      <x:c r="F10" s="14" t="str">
        <x:v>Multi-label; totals exceed 19 because one study can span several operations.</x:v>
      </x:c>
    </x:row>
    <x:row r="11">
      <x:c r="A11" s="14" t="str">
        <x:v>Targeted operation</x:v>
      </x:c>
      <x:c r="B11" s="14" t="str">
        <x:v>Retrieve</x:v>
      </x:c>
      <x:c r="C11" s="14" t="n">
        <x:v>18</x:v>
      </x:c>
      <x:c r="D11" s="37" t="n">
        <x:v>0.9473684210526315</x:v>
      </x:c>
      <x:c r="E11" s="14" t="str">
        <x:v>Derived from lifecycle-point field</x:v>
      </x:c>
      <x:c r="F11" s="14" t="str">
        <x:v>Multi-label; totals exceed 19 because one study can span several operations.</x:v>
      </x:c>
    </x:row>
    <x:row r="12">
      <x:c r="A12" s="14" t="str">
        <x:v>Targeted operation</x:v>
      </x:c>
      <x:c r="B12" s="14" t="str">
        <x:v>Write</x:v>
      </x:c>
      <x:c r="C12" s="14" t="n">
        <x:v>14</x:v>
      </x:c>
      <x:c r="D12" s="37" t="n">
        <x:v>0.7368421052631579</x:v>
      </x:c>
      <x:c r="E12" s="14" t="str">
        <x:v>Derived from lifecycle-point field</x:v>
      </x:c>
      <x:c r="F12" s="14" t="str">
        <x:v>Multi-label; totals exceed 19 because one study can span several operations.</x:v>
      </x:c>
    </x:row>
    <x:row r="13">
      <x:c r="A13" s="14" t="str">
        <x:v>Targeted operation</x:v>
      </x:c>
      <x:c r="B13" s="14" t="str">
        <x:v>Execute</x:v>
      </x:c>
      <x:c r="C13" s="14" t="n">
        <x:v>9</x:v>
      </x:c>
      <x:c r="D13" s="37" t="n">
        <x:v>0.47368421052631576</x:v>
      </x:c>
      <x:c r="E13" s="14" t="str">
        <x:v>Derived from lifecycle-point field</x:v>
      </x:c>
      <x:c r="F13" s="14" t="str">
        <x:v>Multi-label; totals exceed 19 because one study can span several operations.</x:v>
      </x:c>
    </x:row>
    <x:row r="14">
      <x:c r="A14" s="14" t="str">
        <x:v>Targeted operation</x:v>
      </x:c>
      <x:c r="B14" s="14" t="str">
        <x:v>Acquire</x:v>
      </x:c>
      <x:c r="C14" s="14" t="n">
        <x:v>3</x:v>
      </x:c>
      <x:c r="D14" s="37" t="n">
        <x:v>0.15789473684210525</x:v>
      </x:c>
      <x:c r="E14" s="14" t="str">
        <x:v>Derived from lifecycle-point field</x:v>
      </x:c>
      <x:c r="F14" s="14" t="str">
        <x:v>Multi-label; totals exceed 19 because one study can span several operations.</x:v>
      </x:c>
    </x:row>
    <x:row r="15">
      <x:c r="A15" s="14" t="str">
        <x:v>Targeted operation</x:v>
      </x:c>
      <x:c r="B15" s="14" t="str">
        <x:v>Share</x:v>
      </x:c>
      <x:c r="C15" s="14" t="n">
        <x:v>2</x:v>
      </x:c>
      <x:c r="D15" s="37" t="n">
        <x:v>0.10526315789473684</x:v>
      </x:c>
      <x:c r="E15" s="14" t="str">
        <x:v>Derived from lifecycle-point field</x:v>
      </x:c>
      <x:c r="F15" s="14" t="str">
        <x:v>Multi-label; totals exceed 19 because one study can span several operations.</x:v>
      </x:c>
    </x:row>
    <x:row r="16">
      <x:c r="A16" s="14" t="str">
        <x:v>Targeted operation</x:v>
      </x:c>
      <x:c r="B16" s="14" t="str">
        <x:v>Propagate</x:v>
      </x:c>
      <x:c r="C16" s="14" t="n">
        <x:v>1</x:v>
      </x:c>
      <x:c r="D16" s="37" t="n">
        <x:v>0.05263157894736842</x:v>
      </x:c>
      <x:c r="E16" s="14" t="str">
        <x:v>Derived from lifecycle-point field</x:v>
      </x:c>
      <x:c r="F16" s="14" t="str">
        <x:v>Multi-label; totals exceed 19 because one study can span several operations.</x:v>
      </x:c>
    </x:row>
    <x:row r="17">
      <x:c r="A17" s="14" t="str">
        <x:v>Targeted operation</x:v>
      </x:c>
      <x:c r="B17" s="14" t="str">
        <x:v>Transform</x:v>
      </x:c>
      <x:c r="C17" s="14" t="n">
        <x:v>2</x:v>
      </x:c>
      <x:c r="D17" s="37" t="n">
        <x:v>0.10526315789473684</x:v>
      </x:c>
      <x:c r="E17" s="14" t="str">
        <x:v>Derived from lifecycle-point field</x:v>
      </x:c>
      <x:c r="F17" s="14" t="str">
        <x:v>Multi-label; totals exceed 19 because one study can span several operations.</x:v>
      </x:c>
    </x:row>
    <x:row r="18">
      <x:c r="A18" s="14" t="str">
        <x:v>Memory target</x:v>
      </x:c>
      <x:c r="B18" s="14" t="str">
        <x:v>Episodic, demonstration, experience or trajectory memory</x:v>
      </x:c>
      <x:c r="C18" s="14" t="n">
        <x:v>4</x:v>
      </x:c>
      <x:c r="D18" s="37" t="n">
        <x:v>0.21052631578947367</x:v>
      </x:c>
      <x:c r="E18" s="14" t="str">
        <x:v>10, 11, 13, 15</x:v>
      </x:c>
      <x:c r="F18" s="14" t="str">
        <x:v>Multi-label; totals may exceed 19.</x:v>
      </x:c>
    </x:row>
    <x:row r="19">
      <x:c r="A19" s="14" t="str">
        <x:v>Memory target</x:v>
      </x:c>
      <x:c r="B19" s="14" t="str">
        <x:v>User, profile or conversational memory</x:v>
      </x:c>
      <x:c r="C19" s="14" t="n">
        <x:v>4</x:v>
      </x:c>
      <x:c r="D19" s="37" t="n">
        <x:v>0.21052631578947367</x:v>
      </x:c>
      <x:c r="E19" s="14" t="str">
        <x:v>12, 18, 31, 33</x:v>
      </x:c>
      <x:c r="F19" s="14" t="str">
        <x:v>Multi-label; totals may exceed 19.</x:v>
      </x:c>
    </x:row>
    <x:row r="20">
      <x:c r="A20" s="14" t="str">
        <x:v>Memory target</x:v>
      </x:c>
      <x:c r="B20" s="14" t="str">
        <x:v>Procedural, policy, tool-selection or skill memory</x:v>
      </x:c>
      <x:c r="C20" s="14" t="n">
        <x:v>4</x:v>
      </x:c>
      <x:c r="D20" s="37" t="n">
        <x:v>0.21052631578947367</x:v>
      </x:c>
      <x:c r="E20" s="14" t="str">
        <x:v>15, 16, 20, 29</x:v>
      </x:c>
      <x:c r="F20" s="14" t="str">
        <x:v>Multi-label; totals may exceed 19.</x:v>
      </x:c>
    </x:row>
    <x:row r="21">
      <x:c r="A21" s="14" t="str">
        <x:v>Memory target</x:v>
      </x:c>
      <x:c r="B21" s="14" t="str">
        <x:v>General, layered or dynamic long-term memory</x:v>
      </x:c>
      <x:c r="C21" s="14" t="n">
        <x:v>4</x:v>
      </x:c>
      <x:c r="D21" s="37" t="n">
        <x:v>0.21052631578947367</x:v>
      </x:c>
      <x:c r="E21" s="14" t="str">
        <x:v>14, 17, 21, 30</x:v>
      </x:c>
      <x:c r="F21" s="14" t="str">
        <x:v>Multi-label; totals may exceed 19.</x:v>
      </x:c>
    </x:row>
    <x:row r="22">
      <x:c r="A22" s="14" t="str">
        <x:v>Memory target</x:v>
      </x:c>
      <x:c r="B22" s="14" t="str">
        <x:v>Shared or multi-user/multi-agent memory</x:v>
      </x:c>
      <x:c r="C22" s="14" t="n">
        <x:v>2</x:v>
      </x:c>
      <x:c r="D22" s="37" t="n">
        <x:v>0.10526315789473684</x:v>
      </x:c>
      <x:c r="E22" s="14" t="str">
        <x:v>22, 26</x:v>
      </x:c>
      <x:c r="F22" s="14" t="str">
        <x:v>Multi-label; totals may exceed 19.</x:v>
      </x:c>
    </x:row>
    <x:row r="23">
      <x:c r="A23" s="14" t="str">
        <x:v>Memory target</x:v>
      </x:c>
      <x:c r="B23" s="14" t="str">
        <x:v>Multimodal memory</x:v>
      </x:c>
      <x:c r="C23" s="14" t="n">
        <x:v>2</x:v>
      </x:c>
      <x:c r="D23" s="37" t="n">
        <x:v>0.10526315789473684</x:v>
      </x:c>
      <x:c r="E23" s="14" t="str">
        <x:v>24, 26</x:v>
      </x:c>
      <x:c r="F23" s="14" t="str">
        <x:v>Multi-label; totals may exceed 19.</x:v>
      </x:c>
    </x:row>
    <x:row r="24">
      <x:c r="A24" s="14" t="str">
        <x:v>Memory target</x:v>
      </x:c>
      <x:c r="B24" s="14" t="str">
        <x:v>Graph-structured memory</x:v>
      </x:c>
      <x:c r="C24" s="14" t="n">
        <x:v>1</x:v>
      </x:c>
      <x:c r="D24" s="37" t="n">
        <x:v>0.05263157894736842</x:v>
      </x:c>
      <x:c r="E24" s="14" t="str">
        <x:v>32</x:v>
      </x:c>
      <x:c r="F24" s="14" t="str">
        <x:v>Multi-label; totals may exceed 19.</x:v>
      </x:c>
    </x:row>
    <x:row r="25">
      <x:c r="A25" s="14" t="str">
        <x:v>Temporal behaviour</x:v>
      </x:c>
      <x:c r="B25" s="14" t="str">
        <x:v>Trigger- or query-conditioned</x:v>
      </x:c>
      <x:c r="C25" s="14" t="n">
        <x:v>7</x:v>
      </x:c>
      <x:c r="D25" s="37" t="n">
        <x:v>0.3684210526315789</x:v>
      </x:c>
      <x:c r="E25" s="14" t="str">
        <x:v>10, 11, 14, 17, 21, 30, 31</x:v>
      </x:c>
      <x:c r="F25" s="14" t="str">
        <x:v>Multi-label; totals may exceed 19.</x:v>
      </x:c>
    </x:row>
    <x:row r="26">
      <x:c r="A26" s="14" t="str">
        <x:v>Temporal behaviour</x:v>
      </x:c>
      <x:c r="B26" s="14" t="str">
        <x:v>Delayed or later-session activation</x:v>
      </x:c>
      <x:c r="C26" s="14" t="n">
        <x:v>8</x:v>
      </x:c>
      <x:c r="D26" s="37" t="n">
        <x:v>0.42105263157894735</x:v>
      </x:c>
      <x:c r="E26" s="14" t="str">
        <x:v>13, 17, 18, 21, 22, 24, 29, 31</x:v>
      </x:c>
      <x:c r="F26" s="14" t="str">
        <x:v>Multi-label; totals may exceed 19.</x:v>
      </x:c>
    </x:row>
    <x:row r="27">
      <x:c r="A27" s="14" t="str">
        <x:v>Temporal behaviour</x:v>
      </x:c>
      <x:c r="B27" s="14" t="str">
        <x:v>Repeated or recurrent elicitation</x:v>
      </x:c>
      <x:c r="C27" s="14" t="n">
        <x:v>3</x:v>
      </x:c>
      <x:c r="D27" s="37" t="n">
        <x:v>0.15789473684210525</x:v>
      </x:c>
      <x:c r="E27" s="14" t="str">
        <x:v>10, 12, 33</x:v>
      </x:c>
      <x:c r="F27" s="14" t="str">
        <x:v>Multi-label; totals may exceed 19.</x:v>
      </x:c>
    </x:row>
    <x:row r="28">
      <x:c r="A28" s="14" t="str">
        <x:v>Temporal behaviour</x:v>
      </x:c>
      <x:c r="B28" s="14" t="str">
        <x:v>Cross-task or long-horizon persistence</x:v>
      </x:c>
      <x:c r="C28" s="14" t="n">
        <x:v>9</x:v>
      </x:c>
      <x:c r="D28" s="37" t="n">
        <x:v>0.47368421052631576</x:v>
      </x:c>
      <x:c r="E28" s="14" t="str">
        <x:v>13, 16, 17, 18, 21, 22, 24, 26, 29</x:v>
      </x:c>
      <x:c r="F28" s="14" t="str">
        <x:v>Multi-label; totals may exceed 19.</x:v>
      </x:c>
    </x:row>
    <x:row r="29">
      <x:c r="A29" s="14" t="str">
        <x:v>Temporal behaviour</x:v>
      </x:c>
      <x:c r="B29" s="14" t="str">
        <x:v>Trigger-free semantic imitation</x:v>
      </x:c>
      <x:c r="C29" s="14" t="n">
        <x:v>1</x:v>
      </x:c>
      <x:c r="D29" s="37" t="n">
        <x:v>0.05263157894736842</x:v>
      </x:c>
      <x:c r="E29" s="14" t="str">
        <x:v>15</x:v>
      </x:c>
      <x:c r="F29" s="14" t="str">
        <x:v>Multi-label; totals may exceed 19.</x:v>
      </x:c>
    </x:row>
    <x:row r="30">
      <x:c r="A30" s="14" t="str">
        <x:v>Temporal behaviour</x:v>
      </x:c>
      <x:c r="B30" s="14" t="str">
        <x:v>Self-reinforcing or propagating</x:v>
      </x:c>
      <x:c r="C30" s="14" t="n">
        <x:v>2</x:v>
      </x:c>
      <x:c r="D30" s="37" t="n">
        <x:v>0.10526315789473684</x:v>
      </x:c>
      <x:c r="E30" s="14" t="str">
        <x:v>21, 26</x:v>
      </x:c>
      <x:c r="F30" s="14" t="str">
        <x:v>Multi-label; totals may exceed 19.</x:v>
      </x:c>
    </x:row>
    <x:row r="31">
      <x:c r="A31" s="14" t="str">
        <x:v>Propagation scope</x:v>
      </x:c>
      <x:c r="B31" s="14" t="str">
        <x:v>Cross-session</x:v>
      </x:c>
      <x:c r="C31" s="14" t="n">
        <x:v>18</x:v>
      </x:c>
      <x:c r="D31" s="37" t="n">
        <x:v>0.9473684210526315</x:v>
      </x:c>
      <x:c r="E31" s="14" t="str">
        <x:v>10, 11, 12, 13, 14, 15, 16, 17, 18, 20, 21, 22, 24, 29, 30, 31, 32, 33</x:v>
      </x:c>
      <x:c r="F31" s="14" t="str">
        <x:v>Multi-label; totals may exceed 19.</x:v>
      </x:c>
    </x:row>
    <x:row r="32">
      <x:c r="A32" s="14" t="str">
        <x:v>Propagation scope</x:v>
      </x:c>
      <x:c r="B32" s="14" t="str">
        <x:v>Cross-agent / ecosystem</x:v>
      </x:c>
      <x:c r="C32" s="14" t="n">
        <x:v>1</x:v>
      </x:c>
      <x:c r="D32" s="37" t="n">
        <x:v>0.05263157894736842</x:v>
      </x:c>
      <x:c r="E32" s="14" t="str">
        <x:v>26</x:v>
      </x:c>
      <x:c r="F32" s="14" t="str">
        <x:v>Multi-label; totals may exceed 19.</x:v>
      </x:c>
    </x:row>
    <x:row r="33">
      <x:c r="A33" s="14" t="str">
        <x:v>Propagation scope</x:v>
      </x:c>
      <x:c r="B33" s="14" t="str">
        <x:v>Cross-user</x:v>
      </x:c>
      <x:c r="C33" s="14" t="n">
        <x:v>1</x:v>
      </x:c>
      <x:c r="D33" s="37" t="n">
        <x:v>0.05263157894736842</x:v>
      </x:c>
      <x:c r="E33" s="14" t="str">
        <x:v>22</x:v>
      </x:c>
      <x:c r="F33" s="14" t="str">
        <x:v>Multi-label; totals may exceed 19.</x:v>
      </x:c>
    </x:row>
    <x:row r="34">
      <x:c r="A34" s="14" t="str">
        <x:v>Propagation scope</x:v>
      </x:c>
      <x:c r="B34" s="14" t="str">
        <x:v>Cross-site</x:v>
      </x:c>
      <x:c r="C34" s="14" t="n">
        <x:v>1</x:v>
      </x:c>
      <x:c r="D34" s="37" t="n">
        <x:v>0.05263157894736842</x:v>
      </x:c>
      <x:c r="E34" s="14" t="str">
        <x:v>13</x:v>
      </x:c>
      <x:c r="F34" s="14" t="str">
        <x:v>Multi-label; totals may exceed 19.</x:v>
      </x:c>
    </x:row>
    <x:row r="36">
      <x:c r="A36" s="40" t="str">
        <x:v>The workbook does not yet contain a normalized study-level 'forensic effect' code (trace-preserving, trace-poor, provenance-laundering, evidence-deleting, log-flooding, or rollback concealment). That dimension requires a fresh manual recoding pass and should not be inferred from the existing provenance fields.</x:v>
      </x:c>
      <x:c r="B36" s="40"/>
      <x:c r="C36" s="40"/>
      <x:c r="D36" s="40"/>
      <x:c r="E36" s="40"/>
      <x:c r="F36" s="40"/>
    </x:row>
    <x:row r="37">
      <x:c r="A37" s="40"/>
      <x:c r="B37" s="40"/>
      <x:c r="C37" s="40"/>
      <x:c r="D37" s="40"/>
      <x:c r="E37" s="40"/>
      <x:c r="F37" s="40"/>
    </x:row>
  </x:sheetData>
  <x:mergeCells>
    <x:mergeCell ref="A1:F1"/>
    <x:mergeCell ref="A36:F37"/>
  </x:mergeCells>
  <x:pageMargins left="0.7" right="0.7" top="0.75" bottom="0.75" header="0.3" footer="0.3"/>
  <x:tableParts count="1">
    <x:tablePart xmlns:r="http://schemas.openxmlformats.org/officeDocument/2006/relationships" r:id="Rf8a9fec47887413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54" hidden="0" customWidth="1"/>
  </x:cols>
  <x:sheetData>
    <x:row r="1">
      <x:c r="A1" s="30" t="str">
        <x:v>Provisional Retrospective MEIRC Mapping from the Current Extraction Workbook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3">
      <x:c r="A3" s="35" t="str">
        <x:v>Study</x:v>
      </x:c>
      <x:c r="B3" s="35" t="str">
        <x:v>Source/acquisition</x:v>
      </x:c>
      <x:c r="C3" s="35" t="str">
        <x:v>Formation</x:v>
      </x:c>
      <x:c r="D3" s="35" t="str">
        <x:v>Persistence</x:v>
      </x:c>
      <x:c r="E3" s="35" t="str">
        <x:v>Retrieval</x:v>
      </x:c>
      <x:c r="F3" s="35" t="str">
        <x:v>Decision</x:v>
      </x:c>
      <x:c r="G3" s="35" t="str">
        <x:v>Action</x:v>
      </x:c>
      <x:c r="H3" s="35" t="str">
        <x:v>Propagation</x:v>
      </x:c>
      <x:c r="I3" s="35" t="str">
        <x:v>Recovery</x:v>
      </x:c>
      <x:c r="J3" s="35" t="str">
        <x:v>Maximum causal level</x:v>
      </x:c>
      <x:c r="K3" s="35" t="str">
        <x:v>Verification note</x:v>
      </x:c>
    </x:row>
    <x:row r="4">
      <x:c r="A4" s="14" t="str">
        <x:v>AgentPoison (ID 10)</x:v>
      </x:c>
      <x:c r="B4" s="14" t="str">
        <x:v>Yes</x:v>
      </x:c>
      <x:c r="C4" s="14" t="str">
        <x:v>No</x:v>
      </x:c>
      <x:c r="D4" s="14" t="str">
        <x:v>Yes</x:v>
      </x:c>
      <x:c r="E4" s="14" t="str">
        <x:v>Yes</x:v>
      </x:c>
      <x:c r="F4" s="14" t="str">
        <x:v>Partial</x:v>
      </x:c>
      <x:c r="G4" s="14" t="str">
        <x:v>Partial</x:v>
      </x:c>
      <x:c r="H4" s="14" t="str">
        <x:v>No</x:v>
      </x:c>
      <x:c r="I4" s="14" t="str">
        <x:v>No</x:v>
      </x:c>
      <x:c r="J4" s="14" t="str">
        <x:v>L1</x:v>
      </x:c>
      <x:c r="K4" s="14" t="str">
        <x:v>Poisoned records, trigger and retrieval scores are present; complete formation and action-authority evidence is absent.</x:v>
      </x:c>
    </x:row>
    <x:row r="5">
      <x:c r="A5" s="14" t="str">
        <x:v>MINJA / Query-only Memory Injection (ID 11)</x:v>
      </x:c>
      <x:c r="B5" s="14" t="str">
        <x:v>Yes</x:v>
      </x:c>
      <x:c r="C5" s="14" t="str">
        <x:v>Partial</x:v>
      </x:c>
      <x:c r="D5" s="14" t="str">
        <x:v>Yes</x:v>
      </x:c>
      <x:c r="E5" s="14" t="str">
        <x:v>Yes</x:v>
      </x:c>
      <x:c r="F5" s="14" t="str">
        <x:v>Partial</x:v>
      </x:c>
      <x:c r="G5" s="14" t="str">
        <x:v>Partial</x:v>
      </x:c>
      <x:c r="H5" s="14" t="str">
        <x:v>No</x:v>
      </x:c>
      <x:c r="I5" s="14" t="str">
        <x:v>No</x:v>
      </x:c>
      <x:c r="J5" s="14" t="str">
        <x:v>L1</x:v>
      </x:c>
      <x:c r="K5" s="14" t="str">
        <x:v>Injection queries and generated demonstrations are reported, but complete write-decision and action-authority records are not.</x:v>
      </x:c>
    </x:row>
    <x:row r="6">
      <x:c r="A6" s="14" t="str">
        <x:v>Hidden in Memory (ID 18)</x:v>
      </x:c>
      <x:c r="B6" s="14" t="str">
        <x:v>Yes</x:v>
      </x:c>
      <x:c r="C6" s="14" t="str">
        <x:v>Partial</x:v>
      </x:c>
      <x:c r="D6" s="14" t="str">
        <x:v>Yes</x:v>
      </x:c>
      <x:c r="E6" s="14" t="str">
        <x:v>Yes</x:v>
      </x:c>
      <x:c r="F6" s="14" t="str">
        <x:v>Partial</x:v>
      </x:c>
      <x:c r="G6" s="14" t="str">
        <x:v>Yes</x:v>
      </x:c>
      <x:c r="H6" s="14" t="str">
        <x:v>No</x:v>
      </x:c>
      <x:c r="I6" s="14" t="str">
        <x:v>Partial</x:v>
      </x:c>
      <x:c r="J6" s="14" t="str">
        <x:v>L2</x:v>
      </x:c>
      <x:c r="K6" s="14" t="str">
        <x:v>The workbook records source, write, retrieval and downstream-action evidence and codes causal reconstruction Yes; recovery is incomplete.</x:v>
      </x:c>
    </x:row>
    <x:row r="8">
      <x:c r="A8" s="40" t="str">
        <x:v>Provisional values only: verify each layer against exact pages, figures, tables and supplementary artefacts in the three papers. Use Yes only for explicitly exposed artefacts; use Partial where an outcome is reported without a complete evidence record.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</x:row>
  </x:sheetData>
  <x:mergeCells>
    <x:mergeCell ref="A1:K1"/>
    <x:mergeCell ref="A8:K9"/>
  </x:mergeCells>
  <x:pageMargins left="0.7" right="0.7" top="0.75" bottom="0.75" header="0.3" footer="0.3"/>
  <x:tableParts count="1">
    <x:tablePart xmlns:r="http://schemas.openxmlformats.org/officeDocument/2006/relationships" r:id="R820b64019b624f3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14" hidden="0" customWidth="1"/>
    <x:col min="4" max="4" width="18" hidden="0" customWidth="1"/>
    <x:col min="5" max="5" width="11" hidden="0" customWidth="1"/>
    <x:col min="6" max="6" width="15" hidden="0" customWidth="1"/>
    <x:col min="7" max="7" width="14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</x:cols>
  <x:sheetData>
    <x:row r="1">
      <x:c r="A1" s="30" t="str">
        <x:v>Compact Benchmark-Coverage Values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3">
      <x:c r="A3" s="35" t="str">
        <x:v>ID</x:v>
      </x:c>
      <x:c r="B3" s="35" t="str">
        <x:v>Benchmark</x:v>
      </x:c>
      <x:c r="C3" s="35" t="str">
        <x:v>Persistent memory</x:v>
      </x:c>
      <x:c r="D3" s="35" t="str">
        <x:v>Attack/failure GT</x:v>
      </x:c>
      <x:c r="E3" s="35" t="str">
        <x:v>Privacy</x:v>
      </x:c>
      <x:c r="F3" s="35" t="str">
        <x:v>Provenance GT</x:v>
      </x:c>
      <x:c r="G3" s="35" t="str">
        <x:v>Retrieval trace</x:v>
      </x:c>
      <x:c r="H3" s="35" t="str">
        <x:v>Memory→action GT</x:v>
      </x:c>
      <x:c r="I3" s="35" t="str">
        <x:v>Multi-agent/principal</x:v>
      </x:c>
      <x:c r="J3" s="35" t="str">
        <x:v>Temporal persistence</x:v>
      </x:c>
      <x:c r="K3" s="35" t="str">
        <x:v>Forgetting/recovery</x:v>
      </x:c>
    </x:row>
    <x:row r="4">
      <x:c r="A4" s="14" t="n">
        <x:v>19</x:v>
      </x:c>
      <x:c r="B4" s="14" t="str">
        <x:v>From Untrusted Input to Trusted Memory: A Systematic Study of Memory Poisonin...</x:v>
      </x:c>
      <x:c r="C4" s="14" t="str">
        <x:v>●</x:v>
      </x:c>
      <x:c r="D4" s="14" t="str">
        <x:v>●</x:v>
      </x:c>
      <x:c r="E4" s="14" t="str">
        <x:v>△</x:v>
      </x:c>
      <x:c r="F4" s="14" t="str">
        <x:v>△</x:v>
      </x:c>
      <x:c r="G4" s="14" t="str">
        <x:v>●</x:v>
      </x:c>
      <x:c r="H4" s="14" t="str">
        <x:v>△</x:v>
      </x:c>
      <x:c r="I4" s="14" t="str">
        <x:v>○</x:v>
      </x:c>
      <x:c r="J4" s="14" t="str">
        <x:v>●</x:v>
      </x:c>
      <x:c r="K4" s="14" t="str">
        <x:v>○</x:v>
      </x:c>
    </x:row>
    <x:row r="5">
      <x:c r="A5" s="14" t="n">
        <x:v>59</x:v>
      </x:c>
      <x:c r="B5" s="14" t="str">
        <x:v>Mem2ActBench: A Benchmark for Evaluating Long-Term Memory Utilization in Task-Oriented Autonomous Agents</x:v>
      </x:c>
      <x:c r="C5" s="14" t="str">
        <x:v>●</x:v>
      </x:c>
      <x:c r="D5" s="14" t="str">
        <x:v>△</x:v>
      </x:c>
      <x:c r="E5" s="14" t="str">
        <x:v>○</x:v>
      </x:c>
      <x:c r="F5" s="14" t="str">
        <x:v>○</x:v>
      </x:c>
      <x:c r="G5" s="14" t="str">
        <x:v>●</x:v>
      </x:c>
      <x:c r="H5" s="14" t="str">
        <x:v>●</x:v>
      </x:c>
      <x:c r="I5" s="14" t="str">
        <x:v>○</x:v>
      </x:c>
      <x:c r="J5" s="14" t="str">
        <x:v>△</x:v>
      </x:c>
      <x:c r="K5" s="14" t="str">
        <x:v>○</x:v>
      </x:c>
    </x:row>
    <x:row r="6">
      <x:c r="A6" s="14" t="n">
        <x:v>60</x:v>
      </x:c>
      <x:c r="B6" s="14" t="str">
        <x:v>GATEMEM: Benchmarking Memory Governance in Multi-Principal Shared-Memory Agents</x:v>
      </x:c>
      <x:c r="C6" s="14" t="str">
        <x:v>●</x:v>
      </x:c>
      <x:c r="D6" s="14" t="str">
        <x:v>●</x:v>
      </x:c>
      <x:c r="E6" s="14" t="str">
        <x:v>△</x:v>
      </x:c>
      <x:c r="F6" s="14" t="str">
        <x:v>△</x:v>
      </x:c>
      <x:c r="G6" s="14" t="str">
        <x:v>△</x:v>
      </x:c>
      <x:c r="H6" s="14" t="str">
        <x:v>△</x:v>
      </x:c>
      <x:c r="I6" s="14" t="str">
        <x:v>●</x:v>
      </x:c>
      <x:c r="J6" s="14" t="str">
        <x:v>△</x:v>
      </x:c>
      <x:c r="K6" s="14" t="str">
        <x:v>●</x:v>
      </x:c>
    </x:row>
    <x:row r="7">
      <x:c r="A7" s="14" t="n">
        <x:v>61</x:v>
      </x:c>
      <x:c r="B7" s="14" t="str">
        <x:v>CIMemories: A Compositional Benchmark for Contextual Integrity of Persistent Memory in LLMs</x:v>
      </x:c>
      <x:c r="C7" s="14" t="str">
        <x:v>●</x:v>
      </x:c>
      <x:c r="D7" s="14" t="str">
        <x:v>●</x:v>
      </x:c>
      <x:c r="E7" s="14" t="str">
        <x:v>●</x:v>
      </x:c>
      <x:c r="F7" s="14" t="str">
        <x:v>△</x:v>
      </x:c>
      <x:c r="G7" s="14" t="str">
        <x:v>●</x:v>
      </x:c>
      <x:c r="H7" s="14" t="str">
        <x:v>△</x:v>
      </x:c>
      <x:c r="I7" s="14" t="str">
        <x:v>○</x:v>
      </x:c>
      <x:c r="J7" s="14" t="str">
        <x:v>△</x:v>
      </x:c>
      <x:c r="K7" s="14" t="str">
        <x:v>○</x:v>
      </x:c>
    </x:row>
    <x:row r="8">
      <x:c r="A8" s="14" t="n">
        <x:v>62</x:v>
      </x:c>
      <x:c r="B8" s="14" t="str">
        <x:v>PersistBench: When Should Long-Term Memories Be Forgotten by LLMs?</x:v>
      </x:c>
      <x:c r="C8" s="14" t="str">
        <x:v>●</x:v>
      </x:c>
      <x:c r="D8" s="14" t="str">
        <x:v>●</x:v>
      </x:c>
      <x:c r="E8" s="14" t="str">
        <x:v>●</x:v>
      </x:c>
      <x:c r="F8" s="14" t="str">
        <x:v>△</x:v>
      </x:c>
      <x:c r="G8" s="14" t="str">
        <x:v>●</x:v>
      </x:c>
      <x:c r="H8" s="14" t="str">
        <x:v>△</x:v>
      </x:c>
      <x:c r="I8" s="14" t="str">
        <x:v>○</x:v>
      </x:c>
      <x:c r="J8" s="14" t="str">
        <x:v>●</x:v>
      </x:c>
      <x:c r="K8" s="14" t="str">
        <x:v>●</x:v>
      </x:c>
    </x:row>
    <x:row r="9">
      <x:c r="A9" s="14" t="n">
        <x:v>65</x:v>
      </x:c>
      <x:c r="B9" s="14" t="str">
        <x:v>Agent Security Bench (ASB): Formalizing and Benchmarking Attacks and Defenses in LLM-Based Agents</x:v>
      </x:c>
      <x:c r="C9" s="14" t="str">
        <x:v>●</x:v>
      </x:c>
      <x:c r="D9" s="14" t="str">
        <x:v>●</x:v>
      </x:c>
      <x:c r="E9" s="14" t="str">
        <x:v>△</x:v>
      </x:c>
      <x:c r="F9" s="14" t="str">
        <x:v>○</x:v>
      </x:c>
      <x:c r="G9" s="14" t="str">
        <x:v>△</x:v>
      </x:c>
      <x:c r="H9" s="14" t="str">
        <x:v>△</x:v>
      </x:c>
      <x:c r="I9" s="14" t="str">
        <x:v>△</x:v>
      </x:c>
      <x:c r="J9" s="14" t="str">
        <x:v>△</x:v>
      </x:c>
      <x:c r="K9" s="14" t="str">
        <x:v>○</x:v>
      </x:c>
    </x:row>
    <x:row r="10">
      <x:c r="A10" s="14" t="n">
        <x:v>66</x:v>
      </x:c>
      <x:c r="B10" s="14" t="str">
        <x:v>MemSyco-Bench: Benchmarking Sycophancy in Agent Memory</x:v>
      </x:c>
      <x:c r="C10" s="14" t="str">
        <x:v>●</x:v>
      </x:c>
      <x:c r="D10" s="14" t="str">
        <x:v>△</x:v>
      </x:c>
      <x:c r="E10" s="14" t="str">
        <x:v>○</x:v>
      </x:c>
      <x:c r="F10" s="14" t="str">
        <x:v>○</x:v>
      </x:c>
      <x:c r="G10" s="14" t="str">
        <x:v>●</x:v>
      </x:c>
      <x:c r="H10" s="14" t="str">
        <x:v>●</x:v>
      </x:c>
      <x:c r="I10" s="14" t="str">
        <x:v>○</x:v>
      </x:c>
      <x:c r="J10" s="14" t="str">
        <x:v>△</x:v>
      </x:c>
      <x:c r="K10" s="14" t="str">
        <x:v>○</x:v>
      </x:c>
    </x:row>
    <x:row r="11">
      <x:c r="A11" s="14" t="n">
        <x:v>67</x:v>
      </x:c>
      <x:c r="B11" s="14" t="str">
        <x:v>AgentLAB: Benchmarking LLM Agents against Long-Horizon Attacks</x:v>
      </x:c>
      <x:c r="C11" s="14" t="str">
        <x:v>●</x:v>
      </x:c>
      <x:c r="D11" s="14" t="str">
        <x:v>●</x:v>
      </x:c>
      <x:c r="E11" s="14" t="str">
        <x:v>△</x:v>
      </x:c>
      <x:c r="F11" s="14" t="str">
        <x:v>△</x:v>
      </x:c>
      <x:c r="G11" s="14" t="str">
        <x:v>●</x:v>
      </x:c>
      <x:c r="H11" s="14" t="str">
        <x:v>△</x:v>
      </x:c>
      <x:c r="I11" s="14" t="str">
        <x:v>△</x:v>
      </x:c>
      <x:c r="J11" s="14" t="str">
        <x:v>●</x:v>
      </x:c>
      <x:c r="K11" s="14" t="str">
        <x:v>○</x:v>
      </x:c>
    </x:row>
    <x:row r="13">
      <x:c r="A13" s="43" t="str">
        <x:v>Legend: ● = direct/Yes; △ = partial; ○ = absent/No. These values reproduce the current benchmark sheet.</x:v>
      </x:c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</x:row>
  </x:sheetData>
  <x:mergeCells>
    <x:mergeCell ref="A1:K1"/>
    <x:mergeCell ref="A13:K13"/>
  </x:mergeCells>
  <x:pageMargins left="0.7" right="0.7" top="0.75" bottom="0.75" header="0.3" footer="0.3"/>
  <x:tableParts count="1">
    <x:tablePart xmlns:r="http://schemas.openxmlformats.org/officeDocument/2006/relationships" r:id="R14e4be796f99439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3" hidden="0" customWidth="1"/>
    <x:col min="3" max="3" width="16" hidden="0" customWidth="1"/>
    <x:col min="4" max="4" width="20" hidden="0" customWidth="1"/>
    <x:col min="5" max="5" width="16" hidden="0" customWidth="1"/>
    <x:col min="6" max="6" width="14" hidden="0" customWidth="1"/>
    <x:col min="7" max="7" width="14" hidden="0" customWidth="1"/>
    <x:col min="8" max="8" width="20" hidden="0" customWidth="1"/>
    <x:col min="9" max="9" width="12" hidden="0" customWidth="1"/>
    <x:col min="10" max="10" width="12" hidden="0" customWidth="1"/>
    <x:col min="11" max="11" width="42" hidden="0" customWidth="1"/>
  </x:cols>
  <x:sheetData>
    <x:row r="1">
      <x:c r="A1" s="30" t="str">
        <x:v>Directional Coverage of This Survey's Seven Analytical Capabilities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3">
      <x:c r="A3" s="35" t="str">
        <x:v>Survey</x:v>
      </x:c>
      <x:c r="B3" s="35" t="str">
        <x:v>Lifecycle</x:v>
      </x:c>
      <x:c r="C3" s="35" t="str">
        <x:v>Memory provenance</x:v>
      </x:c>
      <x:c r="D3" s="35" t="str">
        <x:v>Incident reconstruction</x:v>
      </x:c>
      <x:c r="E3" s="35" t="str">
        <x:v>Causal confidence</x:v>
      </x:c>
      <x:c r="F3" s="35" t="str">
        <x:v>Blast radius</x:v>
      </x:c>
      <x:c r="G3" s="35" t="str">
        <x:v>Anti-forensics</x:v>
      </x:c>
      <x:c r="H3" s="35" t="str">
        <x:v>Recovery completeness</x:v>
      </x:c>
      <x:c r="I3" s="35" t="str">
        <x:v>Score / 7</x:v>
      </x:c>
      <x:c r="J3" s="35" t="str">
        <x:v>Coverage %</x:v>
      </x:c>
      <x:c r="K3" s="35" t="str">
        <x:v>Interpretation</x:v>
      </x:c>
    </x:row>
    <x:row r="4">
      <x:c r="A4" s="14" t="str">
        <x:v>A Survey on Long-Term Memory Security in LLM Agents: Attacks, Defenses, and Governance Across the Memory Lifecycle</x:v>
      </x:c>
      <x:c r="B4" s="14" t="str">
        <x:v>Yes</x:v>
      </x:c>
      <x:c r="C4" s="14" t="str">
        <x:v>Partial</x:v>
      </x:c>
      <x:c r="D4" s="14" t="str">
        <x:v>No</x:v>
      </x:c>
      <x:c r="E4" s="14" t="str">
        <x:v>No</x:v>
      </x:c>
      <x:c r="F4" s="14" t="str">
        <x:v>Partial</x:v>
      </x:c>
      <x:c r="G4" s="14" t="str">
        <x:v>No</x:v>
      </x:c>
      <x:c r="H4" s="14" t="str">
        <x:v>Partial</x:v>
      </x:c>
      <x:c r="I4" s="14" t="n">
        <x:f>IF(B4="Yes",1,IF(B4="Partial",0.5,0))+IF(C4="Yes",1,IF(C4="Partial",0.5,0))+IF(D4="Yes",1,IF(D4="Partial",0.5,0))+IF(E4="Yes",1,IF(E4="Partial",0.5,0))+IF(F4="Yes",1,IF(F4="Partial",0.5,0))+IF(G4="Yes",1,IF(G4="Partial",0.5,0))+IF(H4="Yes",1,IF(H4="Partial",0.5,0))</x:f>
        <x:v>2.5</x:v>
      </x:c>
      <x:c r="J4" s="37" t="n">
        <x:f>I4/7</x:f>
        <x:v>0.35714285714285715</x:v>
      </x:c>
      <x:c r="K4" s="14" t="str">
        <x:v>Directional coverage only; not a general quality score.</x:v>
      </x:c>
    </x:row>
    <x:row r="5">
      <x:c r="A5" s="14" t="str">
        <x:v>From Agent Traces to Trust: A Survey of Evidence Tracing and Execution Provenance in LLM Agents</x:v>
      </x:c>
      <x:c r="B5" s="14" t="str">
        <x:v>Partial</x:v>
      </x:c>
      <x:c r="C5" s="14" t="str">
        <x:v>Yes</x:v>
      </x:c>
      <x:c r="D5" s="14" t="str">
        <x:v>Partial</x:v>
      </x:c>
      <x:c r="E5" s="14" t="str">
        <x:v>Partial</x:v>
      </x:c>
      <x:c r="F5" s="14" t="str">
        <x:v>Partial</x:v>
      </x:c>
      <x:c r="G5" s="14" t="str">
        <x:v>Partial</x:v>
      </x:c>
      <x:c r="H5" s="14" t="str">
        <x:v>Partial</x:v>
      </x:c>
      <x:c r="I5" s="14" t="n">
        <x:f>IF(B5="Yes",1,IF(B5="Partial",0.5,0))+IF(C5="Yes",1,IF(C5="Partial",0.5,0))+IF(D5="Yes",1,IF(D5="Partial",0.5,0))+IF(E5="Yes",1,IF(E5="Partial",0.5,0))+IF(F5="Yes",1,IF(F5="Partial",0.5,0))+IF(G5="Yes",1,IF(G5="Partial",0.5,0))+IF(H5="Yes",1,IF(H5="Partial",0.5,0))</x:f>
        <x:v>4</x:v>
      </x:c>
      <x:c r="J5" s="37" t="n">
        <x:f>I5/7</x:f>
        <x:v>0.5714285714285714</x:v>
      </x:c>
      <x:c r="K5" s="14" t="str">
        <x:v>Directional coverage only; not a general quality score.</x:v>
      </x:c>
    </x:row>
    <x:row r="6">
      <x:c r="A6" s="14" t="str">
        <x:v>Always-On Agents: A Survey of Persistent Memory, State, and Governance in LLM Agents</x:v>
      </x:c>
      <x:c r="B6" s="14" t="str">
        <x:v>Yes</x:v>
      </x:c>
      <x:c r="C6" s="14" t="str">
        <x:v>Yes</x:v>
      </x:c>
      <x:c r="D6" s="14" t="str">
        <x:v>No</x:v>
      </x:c>
      <x:c r="E6" s="14" t="str">
        <x:v>No</x:v>
      </x:c>
      <x:c r="F6" s="14" t="str">
        <x:v>Partial</x:v>
      </x:c>
      <x:c r="G6" s="14" t="str">
        <x:v>No</x:v>
      </x:c>
      <x:c r="H6" s="14" t="str">
        <x:v>Yes</x:v>
      </x:c>
      <x:c r="I6" s="14" t="n">
        <x:f>IF(B6="Yes",1,IF(B6="Partial",0.5,0))+IF(C6="Yes",1,IF(C6="Partial",0.5,0))+IF(D6="Yes",1,IF(D6="Partial",0.5,0))+IF(E6="Yes",1,IF(E6="Partial",0.5,0))+IF(F6="Yes",1,IF(F6="Partial",0.5,0))+IF(G6="Yes",1,IF(G6="Partial",0.5,0))+IF(H6="Yes",1,IF(H6="Partial",0.5,0))</x:f>
        <x:v>3.5</x:v>
      </x:c>
      <x:c r="J6" s="37" t="n">
        <x:f>I6/7</x:f>
        <x:v>0.5</x:v>
      </x:c>
      <x:c r="K6" s="14" t="str">
        <x:v>Directional coverage only; not a general quality score.</x:v>
      </x:c>
    </x:row>
    <x:row r="8">
      <x:c r="A8" s="40" t="str">
        <x:v>This score is asymmetric by design: it measures how much of the present incident-centred profile appears in each related survey. It does not measure how much of each survey's broader agenda is covered by this manuscript.</x:v>
      </x:c>
      <x:c r="B8" s="40"/>
      <x:c r="C8" s="40"/>
      <x:c r="D8" s="40"/>
      <x:c r="E8" s="40"/>
      <x:c r="F8" s="40"/>
      <x:c r="G8" s="40"/>
      <x:c r="H8" s="40"/>
      <x:c r="I8" s="40"/>
      <x:c r="J8" s="40"/>
      <x:c r="K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</x:row>
  </x:sheetData>
  <x:mergeCells>
    <x:mergeCell ref="A1:K1"/>
    <x:mergeCell ref="A8:K9"/>
  </x:mergeCells>
  <x:pageMargins left="0.7" right="0.7" top="0.75" bottom="0.75" header="0.3" footer="0.3"/>
  <x:tableParts count="1">
    <x:tablePart xmlns:r="http://schemas.openxmlformats.org/officeDocument/2006/relationships" r:id="R690e44b072f34ae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8" hidden="0" customWidth="1"/>
    <x:col min="3" max="3" width="26" hidden="0" customWidth="1"/>
    <x:col min="4" max="4" width="56" hidden="0" customWidth="1"/>
  </x:cols>
  <x:sheetData>
    <x:row r="1">
      <x:c r="A1" s="30" t="str">
        <x:v>What Can and Cannot Be Prepared from the Current Workbook</x:v>
      </x:c>
      <x:c r="B1" s="30"/>
      <x:c r="C1" s="30"/>
      <x:c r="D1" s="30"/>
    </x:row>
    <x:row r="3">
      <x:c r="A3" s="35" t="str">
        <x:v>Requested item</x:v>
      </x:c>
      <x:c r="B3" s="35" t="str">
        <x:v>Status</x:v>
      </x:c>
      <x:c r="C3" s="35" t="str">
        <x:v>Prepared sheet</x:v>
      </x:c>
      <x:c r="D3" s="35" t="str">
        <x:v>Action still required</x:v>
      </x:c>
    </x:row>
    <x:row r="4">
      <x:c r="A4" s="14" t="str">
        <x:v>39-study corpus census with five capability codes</x:v>
      </x:c>
      <x:c r="B4" s="14" t="str">
        <x:v>Prepared</x:v>
      </x:c>
      <x:c r="C4" s="14" t="str">
        <x:v>Appendix A Census</x:v>
      </x:c>
      <x:c r="D4" s="14" t="str">
        <x:v>Verify final bibliographic metadata before submission.</x:v>
      </x:c>
    </x:row>
    <x:row r="5">
      <x:c r="A5" s="14" t="str">
        <x:v>Overall Yes/Partial/No values</x:v>
      </x:c>
      <x:c r="B5" s="14" t="str">
        <x:v>Prepared</x:v>
      </x:c>
      <x:c r="C5" s="14" t="str">
        <x:v>Capability Values</x:v>
      </x:c>
      <x:c r="D5" s="14" t="str">
        <x:v>No additional calculation required.</x:v>
      </x:c>
    </x:row>
    <x:row r="6">
      <x:c r="A6" s="14" t="str">
        <x:v>Role-by-capability and subset sensitivity</x:v>
      </x:c>
      <x:c r="B6" s="14" t="str">
        <x:v>Prepared</x:v>
      </x:c>
      <x:c r="C6" s="14" t="str">
        <x:v>Capability Values</x:v>
      </x:c>
      <x:c r="D6" s="14" t="str">
        <x:v>Retain raw fractions as primary manuscript values.</x:v>
      </x:c>
    </x:row>
    <x:row r="7">
      <x:c r="A7" s="14" t="str">
        <x:v>Boundary recoding thresholds</x:v>
      </x:c>
      <x:c r="B7" s="14" t="str">
        <x:v>Prepared</x:v>
      </x:c>
      <x:c r="C7" s="14" t="str">
        <x:v>Capability Values</x:v>
      </x:c>
      <x:c r="D7" s="14" t="str">
        <x:v>State that causal reconstruction is most sensitive to a one-step recode.</x:v>
      </x:c>
    </x:row>
    <x:row r="8">
      <x:c r="A8" s="14" t="str">
        <x:v>Attack-dimension distribution</x:v>
      </x:c>
      <x:c r="B8" s="14" t="str">
        <x:v>Partially prepared</x:v>
      </x:c>
      <x:c r="C8" s="14" t="str">
        <x:v>Attack Distribution</x:v>
      </x:c>
      <x:c r="D8" s="14" t="str">
        <x:v>Normalized forensic-effect coding requires a new manual recoding pass.</x:v>
      </x:c>
    </x:row>
    <x:row r="9">
      <x:c r="A9" s="14" t="str">
        <x:v>Three-incident retrospective MEIRC mapping</x:v>
      </x:c>
      <x:c r="B9" s="14" t="str">
        <x:v>Provisional</x:v>
      </x:c>
      <x:c r="C9" s="14" t="str">
        <x:v>MEIRC Retrospective</x:v>
      </x:c>
      <x:c r="D9" s="14" t="str">
        <x:v>Verify each layer against exact paper pages/tables.</x:v>
      </x:c>
    </x:row>
    <x:row r="10">
      <x:c r="A10" s="14" t="str">
        <x:v>Benchmark coverage symbols</x:v>
      </x:c>
      <x:c r="B10" s="14" t="str">
        <x:v>Prepared</x:v>
      </x:c>
      <x:c r="C10" s="14" t="str">
        <x:v>Benchmark Symbols</x:v>
      </x:c>
      <x:c r="D10" s="14" t="str">
        <x:v>Resolve any manuscript/workbook discrepancy for ASB before submission.</x:v>
      </x:c>
    </x:row>
    <x:row r="11">
      <x:c r="A11" s="14" t="str">
        <x:v>Directional survey-overlap values</x:v>
      </x:c>
      <x:c r="B11" s="14" t="str">
        <x:v>Prepared</x:v>
      </x:c>
      <x:c r="C11" s="14" t="str">
        <x:v>Survey Coverage Scores</x:v>
      </x:c>
      <x:c r="D11" s="14" t="str">
        <x:v>Publish dimension-level coding in the appendix.</x:v>
      </x:c>
    </x:row>
    <x:row r="12">
      <x:c r="A12" s="14" t="str">
        <x:v>Independent-coder agreement / Cohen's kappa</x:v>
      </x:c>
      <x:c r="B12" s="14" t="str">
        <x:v>Cannot derive</x:v>
      </x:c>
      <x:c r="C12" s="14" t="str">
        <x:v>—</x:v>
      </x:c>
      <x:c r="D12" s="14" t="str">
        <x:v>A genuine second reviewer must independently code the sample.</x:v>
      </x:c>
    </x:row>
    <x:row r="13">
      <x:c r="A13" s="14" t="str">
        <x:v>Per-database search counts and execution dates</x:v>
      </x:c>
      <x:c r="B13" s="14" t="str">
        <x:v>Not in this workbook</x:v>
      </x:c>
      <x:c r="C13" s="14" t="str">
        <x:v>—</x:v>
      </x:c>
      <x:c r="D13" s="14" t="str">
        <x:v>Recover from original database exports/search log; do not invent.</x:v>
      </x:c>
    </x:row>
    <x:row r="14">
      <x:c r="A14" s="14" t="str">
        <x:v>Repository DOI</x:v>
      </x:c>
      <x:c r="B14" s="14" t="str">
        <x:v>Not available</x:v>
      </x:c>
      <x:c r="C14" s="14" t="str">
        <x:v>—</x:v>
      </x:c>
      <x:c r="D14" s="14" t="str">
        <x:v>Deposit the artefacts and insert the resolving DOI.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216ae8351f4492f"/>
  </x:tableParts>
</x:worksheet>
</file>